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giar-my.sharepoint.com/personal/a_f_velez_cgiar_org/Documents/R_projects/Fertilice_right/Data/"/>
    </mc:Choice>
  </mc:AlternateContent>
  <xr:revisionPtr revIDLastSave="170" documentId="8_{9FC7542B-8470-4AE6-AFDF-AA312FAC8D0A}" xr6:coauthVersionLast="47" xr6:coauthVersionMax="47" xr10:uidLastSave="{1A4652F3-9011-497A-98C6-14599287DEA9}"/>
  <bookViews>
    <workbookView xWindow="-110" yWindow="-110" windowWidth="19420" windowHeight="11500" activeTab="1" xr2:uid="{CD6BA171-ACC6-4A4B-BBE3-E98F686B030A}"/>
  </bookViews>
  <sheets>
    <sheet name="Colnames" sheetId="3" r:id="rId1"/>
    <sheet name="Soil_results C1" sheetId="2" r:id="rId2"/>
    <sheet name="Soil_results C2" sheetId="6" r:id="rId3"/>
    <sheet name="Fertilizations" sheetId="1" r:id="rId4"/>
    <sheet name="Rendimiento" sheetId="4" r:id="rId5"/>
    <sheet name="Costos" sheetId="5" r:id="rId6"/>
  </sheets>
  <externalReferences>
    <externalReference r:id="rId7"/>
    <externalReference r:id="rId8"/>
  </externalReferences>
  <definedNames>
    <definedName name="_xlnm._FilterDatabase" localSheetId="5" hidden="1">Costos!$A$1:$D$10</definedName>
    <definedName name="_xlnm._FilterDatabase" localSheetId="3" hidden="1">Fertilizations!$A$1:$L$245</definedName>
    <definedName name="_xlnm._FilterDatabase" localSheetId="4" hidden="1">Rendimiento!$A$1:$K$10</definedName>
    <definedName name="_xlnm._FilterDatabase" localSheetId="1" hidden="1">'Soil_results C1'!$A$1:$AK$37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3" i="1" l="1"/>
  <c r="AH10" i="6" l="1"/>
  <c r="AH9" i="6"/>
  <c r="W9" i="6" s="1"/>
  <c r="AH8" i="6"/>
  <c r="U8" i="6" s="1"/>
  <c r="AH7" i="6"/>
  <c r="AH6" i="6"/>
  <c r="AH5" i="6"/>
  <c r="AH4" i="6"/>
  <c r="V4" i="6" s="1"/>
  <c r="AH3" i="6"/>
  <c r="U3" i="6" s="1"/>
  <c r="W3" i="6"/>
  <c r="AH2" i="6"/>
  <c r="L10" i="4"/>
  <c r="G10" i="4"/>
  <c r="N10" i="4" s="1"/>
  <c r="Q9" i="4"/>
  <c r="N9" i="4"/>
  <c r="R9" i="4" s="1"/>
  <c r="L9" i="4"/>
  <c r="G9" i="4"/>
  <c r="N8" i="4"/>
  <c r="R8" i="4" s="1"/>
  <c r="L8" i="4"/>
  <c r="G8" i="4"/>
  <c r="L7" i="4"/>
  <c r="G7" i="4"/>
  <c r="N7" i="4" s="1"/>
  <c r="R6" i="4"/>
  <c r="N6" i="4"/>
  <c r="Q6" i="4" s="1"/>
  <c r="L6" i="4"/>
  <c r="G6" i="4"/>
  <c r="N5" i="4"/>
  <c r="R5" i="4" s="1"/>
  <c r="L5" i="4"/>
  <c r="G5" i="4"/>
  <c r="M4" i="4"/>
  <c r="G4" i="4"/>
  <c r="N4" i="4" s="1"/>
  <c r="M3" i="4"/>
  <c r="G3" i="4"/>
  <c r="N3" i="4" s="1"/>
  <c r="M2" i="4"/>
  <c r="G2" i="4"/>
  <c r="N2" i="4" s="1"/>
  <c r="W8" i="6" l="1"/>
  <c r="W7" i="6"/>
  <c r="U7" i="6"/>
  <c r="W6" i="6"/>
  <c r="U6" i="6"/>
  <c r="W2" i="6"/>
  <c r="U2" i="6"/>
  <c r="V3" i="6"/>
  <c r="V8" i="6"/>
  <c r="W5" i="6"/>
  <c r="U5" i="6"/>
  <c r="W4" i="6"/>
  <c r="U4" i="6"/>
  <c r="V9" i="6"/>
  <c r="U9" i="6"/>
  <c r="W10" i="6"/>
  <c r="U10" i="6"/>
  <c r="V6" i="6"/>
  <c r="V7" i="6"/>
  <c r="V10" i="6"/>
  <c r="V2" i="6"/>
  <c r="V5" i="6"/>
  <c r="R10" i="4"/>
  <c r="Q10" i="4"/>
  <c r="R3" i="4"/>
  <c r="Q3" i="4"/>
  <c r="R2" i="4"/>
  <c r="Q2" i="4"/>
  <c r="R4" i="4"/>
  <c r="Q4" i="4"/>
  <c r="Q7" i="4"/>
  <c r="R7" i="4"/>
  <c r="Q8" i="4"/>
  <c r="Q5" i="4"/>
  <c r="W28" i="2" l="1"/>
  <c r="V28" i="2"/>
  <c r="W27" i="2"/>
  <c r="V27" i="2"/>
  <c r="W26" i="2"/>
  <c r="V26" i="2"/>
  <c r="W25" i="2"/>
  <c r="V25" i="2"/>
  <c r="W24" i="2"/>
  <c r="V24" i="2"/>
  <c r="W23" i="2"/>
  <c r="V23" i="2"/>
  <c r="W22" i="2"/>
  <c r="V22" i="2"/>
  <c r="W21" i="2"/>
  <c r="V21" i="2"/>
  <c r="W20" i="2"/>
  <c r="V20" i="2"/>
  <c r="W19" i="2"/>
  <c r="V19" i="2"/>
  <c r="W18" i="2"/>
  <c r="V18" i="2"/>
  <c r="W17" i="2"/>
  <c r="V17" i="2"/>
  <c r="W16" i="2"/>
  <c r="V16" i="2"/>
  <c r="W15" i="2"/>
  <c r="V15" i="2"/>
  <c r="W14" i="2"/>
  <c r="V14" i="2"/>
  <c r="W13" i="2"/>
  <c r="V13" i="2"/>
  <c r="W12" i="2"/>
  <c r="V12" i="2"/>
  <c r="W11" i="2"/>
  <c r="V11" i="2"/>
  <c r="W10" i="2"/>
  <c r="V10" i="2"/>
  <c r="W9" i="2"/>
  <c r="V9" i="2"/>
  <c r="W8" i="2"/>
  <c r="V8" i="2"/>
  <c r="W7" i="2"/>
  <c r="V7" i="2"/>
  <c r="W6" i="2"/>
  <c r="V6" i="2"/>
  <c r="W5" i="2"/>
  <c r="V5" i="2"/>
  <c r="W4" i="2"/>
  <c r="V4" i="2"/>
  <c r="W3" i="2"/>
  <c r="V3" i="2"/>
  <c r="W2" i="2"/>
  <c r="V2" i="2"/>
  <c r="O245" i="1"/>
  <c r="N245" i="1"/>
  <c r="M245" i="1"/>
  <c r="L245" i="1"/>
  <c r="K245" i="1"/>
  <c r="O244" i="1"/>
  <c r="N244" i="1"/>
  <c r="M244" i="1"/>
  <c r="L244" i="1"/>
  <c r="K244" i="1"/>
  <c r="O243" i="1"/>
  <c r="N243" i="1"/>
  <c r="M243" i="1"/>
  <c r="L243" i="1"/>
  <c r="K243" i="1"/>
  <c r="O242" i="1"/>
  <c r="N242" i="1"/>
  <c r="M242" i="1"/>
  <c r="L242" i="1"/>
  <c r="K242" i="1"/>
  <c r="O241" i="1"/>
  <c r="N241" i="1"/>
  <c r="M241" i="1"/>
  <c r="L241" i="1"/>
  <c r="K241" i="1"/>
  <c r="O240" i="1"/>
  <c r="N240" i="1"/>
  <c r="M240" i="1"/>
  <c r="L240" i="1"/>
  <c r="K240" i="1"/>
  <c r="O239" i="1"/>
  <c r="N239" i="1"/>
  <c r="M239" i="1"/>
  <c r="L239" i="1"/>
  <c r="K239" i="1"/>
  <c r="O238" i="1"/>
  <c r="N238" i="1"/>
  <c r="M238" i="1"/>
  <c r="L238" i="1"/>
  <c r="K238" i="1"/>
  <c r="O237" i="1"/>
  <c r="N237" i="1"/>
  <c r="M237" i="1"/>
  <c r="L237" i="1"/>
  <c r="K237" i="1"/>
  <c r="O236" i="1"/>
  <c r="N236" i="1"/>
  <c r="M236" i="1"/>
  <c r="L236" i="1"/>
  <c r="K236" i="1"/>
  <c r="O235" i="1"/>
  <c r="N235" i="1"/>
  <c r="M235" i="1"/>
  <c r="L235" i="1"/>
  <c r="K235" i="1"/>
  <c r="O234" i="1"/>
  <c r="N234" i="1"/>
  <c r="M234" i="1"/>
  <c r="L234" i="1"/>
  <c r="K234" i="1"/>
  <c r="O233" i="1"/>
  <c r="N233" i="1"/>
  <c r="M233" i="1"/>
  <c r="L233" i="1"/>
  <c r="K233" i="1"/>
  <c r="O232" i="1"/>
  <c r="N232" i="1"/>
  <c r="M232" i="1"/>
  <c r="L232" i="1"/>
  <c r="K232" i="1"/>
  <c r="O231" i="1"/>
  <c r="N231" i="1"/>
  <c r="M231" i="1"/>
  <c r="L231" i="1"/>
  <c r="K231" i="1"/>
  <c r="O230" i="1"/>
  <c r="N230" i="1"/>
  <c r="M230" i="1"/>
  <c r="L230" i="1"/>
  <c r="K230" i="1"/>
  <c r="O229" i="1"/>
  <c r="N229" i="1"/>
  <c r="M229" i="1"/>
  <c r="L229" i="1"/>
  <c r="K229" i="1"/>
  <c r="O228" i="1"/>
  <c r="N228" i="1"/>
  <c r="M228" i="1"/>
  <c r="L228" i="1"/>
  <c r="K228" i="1"/>
  <c r="O227" i="1"/>
  <c r="N227" i="1"/>
  <c r="M227" i="1"/>
  <c r="L227" i="1"/>
  <c r="K227" i="1"/>
  <c r="O226" i="1"/>
  <c r="N226" i="1"/>
  <c r="M226" i="1"/>
  <c r="L226" i="1"/>
  <c r="K226" i="1"/>
  <c r="O225" i="1"/>
  <c r="N225" i="1"/>
  <c r="M225" i="1"/>
  <c r="L225" i="1"/>
  <c r="K225" i="1"/>
  <c r="O224" i="1"/>
  <c r="N224" i="1"/>
  <c r="M224" i="1"/>
  <c r="L224" i="1"/>
  <c r="K224" i="1"/>
  <c r="O223" i="1"/>
  <c r="N223" i="1"/>
  <c r="M223" i="1"/>
  <c r="L223" i="1"/>
  <c r="K223" i="1"/>
  <c r="O222" i="1"/>
  <c r="N222" i="1"/>
  <c r="M222" i="1"/>
  <c r="L222" i="1"/>
  <c r="K222" i="1"/>
  <c r="O221" i="1"/>
  <c r="N221" i="1"/>
  <c r="M221" i="1"/>
  <c r="L221" i="1"/>
  <c r="K221" i="1"/>
  <c r="O220" i="1"/>
  <c r="N220" i="1"/>
  <c r="M220" i="1"/>
  <c r="L220" i="1"/>
  <c r="K220" i="1"/>
  <c r="O219" i="1"/>
  <c r="N219" i="1"/>
  <c r="M219" i="1"/>
  <c r="L219" i="1"/>
  <c r="K219" i="1"/>
  <c r="O218" i="1"/>
  <c r="N218" i="1"/>
  <c r="M218" i="1"/>
  <c r="L218" i="1"/>
  <c r="K218" i="1"/>
  <c r="O217" i="1"/>
  <c r="N217" i="1"/>
  <c r="M217" i="1"/>
  <c r="L217" i="1"/>
  <c r="K217" i="1"/>
  <c r="O216" i="1"/>
  <c r="N216" i="1"/>
  <c r="M216" i="1"/>
  <c r="L216" i="1"/>
  <c r="K216" i="1"/>
  <c r="O215" i="1"/>
  <c r="N215" i="1"/>
  <c r="M215" i="1"/>
  <c r="L215" i="1"/>
  <c r="K215" i="1"/>
  <c r="O214" i="1"/>
  <c r="N214" i="1"/>
  <c r="M214" i="1"/>
  <c r="L214" i="1"/>
  <c r="K214" i="1"/>
  <c r="O213" i="1"/>
  <c r="N213" i="1"/>
  <c r="M213" i="1"/>
  <c r="L213" i="1"/>
  <c r="K213" i="1"/>
  <c r="O212" i="1"/>
  <c r="N212" i="1"/>
  <c r="M212" i="1"/>
  <c r="L212" i="1"/>
  <c r="K212" i="1"/>
  <c r="O211" i="1"/>
  <c r="N211" i="1"/>
  <c r="M211" i="1"/>
  <c r="L211" i="1"/>
  <c r="K211" i="1"/>
  <c r="O210" i="1"/>
  <c r="N210" i="1"/>
  <c r="M210" i="1"/>
  <c r="L210" i="1"/>
  <c r="K210" i="1"/>
  <c r="O209" i="1"/>
  <c r="N209" i="1"/>
  <c r="M209" i="1"/>
  <c r="L209" i="1"/>
  <c r="K209" i="1"/>
  <c r="O208" i="1"/>
  <c r="N208" i="1"/>
  <c r="M208" i="1"/>
  <c r="L208" i="1"/>
  <c r="K208" i="1"/>
  <c r="O207" i="1"/>
  <c r="N207" i="1"/>
  <c r="M207" i="1"/>
  <c r="L207" i="1"/>
  <c r="K207" i="1"/>
  <c r="O206" i="1"/>
  <c r="N206" i="1"/>
  <c r="M206" i="1"/>
  <c r="L206" i="1"/>
  <c r="K206" i="1"/>
  <c r="O205" i="1"/>
  <c r="N205" i="1"/>
  <c r="M205" i="1"/>
  <c r="L205" i="1"/>
  <c r="K205" i="1"/>
  <c r="O204" i="1"/>
  <c r="N204" i="1"/>
  <c r="M204" i="1"/>
  <c r="L204" i="1"/>
  <c r="K204" i="1"/>
  <c r="O203" i="1"/>
  <c r="N203" i="1"/>
  <c r="M203" i="1"/>
  <c r="L203" i="1"/>
  <c r="K203" i="1"/>
  <c r="O202" i="1"/>
  <c r="N202" i="1"/>
  <c r="M202" i="1"/>
  <c r="L202" i="1"/>
  <c r="K202" i="1"/>
  <c r="O201" i="1"/>
  <c r="N201" i="1"/>
  <c r="M201" i="1"/>
  <c r="L201" i="1"/>
  <c r="K201" i="1"/>
  <c r="O200" i="1"/>
  <c r="N200" i="1"/>
  <c r="M200" i="1"/>
  <c r="L200" i="1"/>
  <c r="K200" i="1"/>
  <c r="O199" i="1"/>
  <c r="N199" i="1"/>
  <c r="M199" i="1"/>
  <c r="L199" i="1"/>
  <c r="K199" i="1"/>
  <c r="O198" i="1"/>
  <c r="N198" i="1"/>
  <c r="M198" i="1"/>
  <c r="L198" i="1"/>
  <c r="K198" i="1"/>
  <c r="O197" i="1"/>
  <c r="N197" i="1"/>
  <c r="M197" i="1"/>
  <c r="L197" i="1"/>
  <c r="K197" i="1"/>
  <c r="O196" i="1"/>
  <c r="N196" i="1"/>
  <c r="M196" i="1"/>
  <c r="L196" i="1"/>
  <c r="K196" i="1"/>
  <c r="O195" i="1"/>
  <c r="N195" i="1"/>
  <c r="M195" i="1"/>
  <c r="L195" i="1"/>
  <c r="K195" i="1"/>
  <c r="O194" i="1"/>
  <c r="N194" i="1"/>
  <c r="M194" i="1"/>
  <c r="L194" i="1"/>
  <c r="K194" i="1"/>
  <c r="O193" i="1"/>
  <c r="N193" i="1"/>
  <c r="M193" i="1"/>
  <c r="L193" i="1"/>
  <c r="K193" i="1"/>
  <c r="O192" i="1"/>
  <c r="N192" i="1"/>
  <c r="M192" i="1"/>
  <c r="L192" i="1"/>
  <c r="K192" i="1"/>
  <c r="O191" i="1"/>
  <c r="N191" i="1"/>
  <c r="M191" i="1"/>
  <c r="L191" i="1"/>
  <c r="K191" i="1"/>
  <c r="O190" i="1"/>
  <c r="N190" i="1"/>
  <c r="M190" i="1"/>
  <c r="L190" i="1"/>
  <c r="K190" i="1"/>
  <c r="O189" i="1"/>
  <c r="N189" i="1"/>
  <c r="M189" i="1"/>
  <c r="L189" i="1"/>
  <c r="K189" i="1"/>
  <c r="O188" i="1"/>
  <c r="N188" i="1"/>
  <c r="M188" i="1"/>
  <c r="L188" i="1"/>
  <c r="K188" i="1"/>
  <c r="O187" i="1"/>
  <c r="N187" i="1"/>
  <c r="M187" i="1"/>
  <c r="L187" i="1"/>
  <c r="K187" i="1"/>
  <c r="O186" i="1"/>
  <c r="N186" i="1"/>
  <c r="M186" i="1"/>
  <c r="L186" i="1"/>
  <c r="K186" i="1"/>
  <c r="O185" i="1"/>
  <c r="N185" i="1"/>
  <c r="M185" i="1"/>
  <c r="L185" i="1"/>
  <c r="K185" i="1"/>
  <c r="O184" i="1"/>
  <c r="N184" i="1"/>
  <c r="M184" i="1"/>
  <c r="L184" i="1"/>
  <c r="K184" i="1"/>
  <c r="O183" i="1"/>
  <c r="N183" i="1"/>
  <c r="M183" i="1"/>
  <c r="L183" i="1"/>
  <c r="K183" i="1"/>
  <c r="O182" i="1"/>
  <c r="N182" i="1"/>
  <c r="M182" i="1"/>
  <c r="L182" i="1"/>
  <c r="K182" i="1"/>
  <c r="O181" i="1"/>
  <c r="N181" i="1"/>
  <c r="M181" i="1"/>
  <c r="L181" i="1"/>
  <c r="K181" i="1"/>
  <c r="O180" i="1"/>
  <c r="N180" i="1"/>
  <c r="M180" i="1"/>
  <c r="L180" i="1"/>
  <c r="K180" i="1"/>
  <c r="O179" i="1"/>
  <c r="N179" i="1"/>
  <c r="M179" i="1"/>
  <c r="L179" i="1"/>
  <c r="K179" i="1"/>
  <c r="O178" i="1"/>
  <c r="N178" i="1"/>
  <c r="M178" i="1"/>
  <c r="L178" i="1"/>
  <c r="K178" i="1"/>
  <c r="O177" i="1"/>
  <c r="N177" i="1"/>
  <c r="M177" i="1"/>
  <c r="L177" i="1"/>
  <c r="K177" i="1"/>
  <c r="O176" i="1"/>
  <c r="N176" i="1"/>
  <c r="M176" i="1"/>
  <c r="L176" i="1"/>
  <c r="K176" i="1"/>
  <c r="O175" i="1"/>
  <c r="N175" i="1"/>
  <c r="M175" i="1"/>
  <c r="L175" i="1"/>
  <c r="K175" i="1"/>
  <c r="O174" i="1"/>
  <c r="N174" i="1"/>
  <c r="M174" i="1"/>
  <c r="L174" i="1"/>
  <c r="K174" i="1"/>
  <c r="O173" i="1"/>
  <c r="N173" i="1"/>
  <c r="M173" i="1"/>
  <c r="L173" i="1"/>
  <c r="K173" i="1"/>
  <c r="O172" i="1"/>
  <c r="N172" i="1"/>
  <c r="M172" i="1"/>
  <c r="L172" i="1"/>
  <c r="K172" i="1"/>
  <c r="O171" i="1"/>
  <c r="N171" i="1"/>
  <c r="M171" i="1"/>
  <c r="L171" i="1"/>
  <c r="K171" i="1"/>
  <c r="O170" i="1"/>
  <c r="N170" i="1"/>
  <c r="M170" i="1"/>
  <c r="L170" i="1"/>
  <c r="K170" i="1"/>
  <c r="O169" i="1"/>
  <c r="N169" i="1"/>
  <c r="M169" i="1"/>
  <c r="L169" i="1"/>
  <c r="K169" i="1"/>
  <c r="O168" i="1"/>
  <c r="N168" i="1"/>
  <c r="M168" i="1"/>
  <c r="L168" i="1"/>
  <c r="K168" i="1"/>
  <c r="O167" i="1"/>
  <c r="N167" i="1"/>
  <c r="M167" i="1"/>
  <c r="L167" i="1"/>
  <c r="K167" i="1"/>
  <c r="O166" i="1"/>
  <c r="N166" i="1"/>
  <c r="M166" i="1"/>
  <c r="L166" i="1"/>
  <c r="K166" i="1"/>
  <c r="O165" i="1"/>
  <c r="N165" i="1"/>
  <c r="M165" i="1"/>
  <c r="L165" i="1"/>
  <c r="K165" i="1"/>
  <c r="O164" i="1"/>
  <c r="N164" i="1"/>
  <c r="M164" i="1"/>
  <c r="L164" i="1"/>
  <c r="K164" i="1"/>
  <c r="O163" i="1"/>
  <c r="N163" i="1"/>
  <c r="M163" i="1"/>
  <c r="L163" i="1"/>
  <c r="K163" i="1"/>
  <c r="O162" i="1"/>
  <c r="N162" i="1"/>
  <c r="M162" i="1"/>
  <c r="L162" i="1"/>
  <c r="K162" i="1"/>
  <c r="O161" i="1"/>
  <c r="N161" i="1"/>
  <c r="M161" i="1"/>
  <c r="L161" i="1"/>
  <c r="K161" i="1"/>
  <c r="O160" i="1"/>
  <c r="N160" i="1"/>
  <c r="M160" i="1"/>
  <c r="L160" i="1"/>
  <c r="K160" i="1"/>
  <c r="O159" i="1"/>
  <c r="N159" i="1"/>
  <c r="M159" i="1"/>
  <c r="L159" i="1"/>
  <c r="K159" i="1"/>
  <c r="O158" i="1"/>
  <c r="N158" i="1"/>
  <c r="M158" i="1"/>
  <c r="L158" i="1"/>
  <c r="K158" i="1"/>
  <c r="O157" i="1"/>
  <c r="N157" i="1"/>
  <c r="M157" i="1"/>
  <c r="L157" i="1"/>
  <c r="K157" i="1"/>
  <c r="O156" i="1"/>
  <c r="N156" i="1"/>
  <c r="M156" i="1"/>
  <c r="L156" i="1"/>
  <c r="K156" i="1"/>
  <c r="O155" i="1"/>
  <c r="N155" i="1"/>
  <c r="M155" i="1"/>
  <c r="L155" i="1"/>
  <c r="K155" i="1"/>
  <c r="O154" i="1"/>
  <c r="N154" i="1"/>
  <c r="M154" i="1"/>
  <c r="L154" i="1"/>
  <c r="K154" i="1"/>
  <c r="O153" i="1"/>
  <c r="N153" i="1"/>
  <c r="M153" i="1"/>
  <c r="L153" i="1"/>
  <c r="K153" i="1"/>
  <c r="I152" i="1"/>
  <c r="O152" i="1" s="1"/>
  <c r="O151" i="1"/>
  <c r="N151" i="1"/>
  <c r="M151" i="1"/>
  <c r="L151" i="1"/>
  <c r="K151" i="1"/>
  <c r="O150" i="1"/>
  <c r="N150" i="1"/>
  <c r="M150" i="1"/>
  <c r="L150" i="1"/>
  <c r="K150" i="1"/>
  <c r="M149" i="1"/>
  <c r="L149" i="1"/>
  <c r="K149" i="1"/>
  <c r="K148" i="1"/>
  <c r="K147" i="1"/>
  <c r="O146" i="1"/>
  <c r="N146" i="1"/>
  <c r="M146" i="1"/>
  <c r="L146" i="1"/>
  <c r="K146" i="1"/>
  <c r="O145" i="1"/>
  <c r="N145" i="1"/>
  <c r="M145" i="1"/>
  <c r="L145" i="1"/>
  <c r="K145" i="1"/>
  <c r="O144" i="1"/>
  <c r="N144" i="1"/>
  <c r="M144" i="1"/>
  <c r="L144" i="1"/>
  <c r="K144" i="1"/>
  <c r="O143" i="1"/>
  <c r="N143" i="1"/>
  <c r="M143" i="1"/>
  <c r="L143" i="1"/>
  <c r="K143" i="1"/>
  <c r="O142" i="1"/>
  <c r="N142" i="1"/>
  <c r="M142" i="1"/>
  <c r="L142" i="1"/>
  <c r="K142" i="1"/>
  <c r="O141" i="1"/>
  <c r="N141" i="1"/>
  <c r="M141" i="1"/>
  <c r="L141" i="1"/>
  <c r="K141" i="1"/>
  <c r="O140" i="1"/>
  <c r="N140" i="1"/>
  <c r="M140" i="1"/>
  <c r="L140" i="1"/>
  <c r="K140" i="1"/>
  <c r="O139" i="1"/>
  <c r="N139" i="1"/>
  <c r="M139" i="1"/>
  <c r="L139" i="1"/>
  <c r="K139" i="1"/>
  <c r="O138" i="1"/>
  <c r="N138" i="1"/>
  <c r="M138" i="1"/>
  <c r="L138" i="1"/>
  <c r="K138" i="1"/>
  <c r="O137" i="1"/>
  <c r="N137" i="1"/>
  <c r="M137" i="1"/>
  <c r="L137" i="1"/>
  <c r="K137" i="1"/>
  <c r="I136" i="1"/>
  <c r="O136" i="1" s="1"/>
  <c r="O135" i="1"/>
  <c r="N135" i="1"/>
  <c r="M135" i="1"/>
  <c r="L135" i="1"/>
  <c r="K135" i="1"/>
  <c r="O134" i="1"/>
  <c r="N134" i="1"/>
  <c r="M134" i="1"/>
  <c r="L134" i="1"/>
  <c r="K134" i="1"/>
  <c r="M133" i="1"/>
  <c r="K133" i="1"/>
  <c r="K132" i="1"/>
  <c r="K131" i="1"/>
  <c r="O130" i="1"/>
  <c r="N130" i="1"/>
  <c r="M130" i="1"/>
  <c r="L130" i="1"/>
  <c r="K130" i="1"/>
  <c r="O129" i="1"/>
  <c r="N129" i="1"/>
  <c r="M129" i="1"/>
  <c r="L129" i="1"/>
  <c r="K129" i="1"/>
  <c r="O128" i="1"/>
  <c r="N128" i="1"/>
  <c r="M128" i="1"/>
  <c r="L128" i="1"/>
  <c r="K128" i="1"/>
  <c r="O127" i="1"/>
  <c r="N127" i="1"/>
  <c r="M127" i="1"/>
  <c r="L127" i="1"/>
  <c r="K127" i="1"/>
  <c r="O126" i="1"/>
  <c r="N126" i="1"/>
  <c r="M126" i="1"/>
  <c r="L126" i="1"/>
  <c r="K126" i="1"/>
  <c r="O125" i="1"/>
  <c r="N125" i="1"/>
  <c r="M125" i="1"/>
  <c r="L125" i="1"/>
  <c r="K125" i="1"/>
  <c r="O124" i="1"/>
  <c r="N124" i="1"/>
  <c r="M124" i="1"/>
  <c r="L124" i="1"/>
  <c r="K124" i="1"/>
  <c r="O123" i="1"/>
  <c r="N123" i="1"/>
  <c r="M123" i="1"/>
  <c r="L123" i="1"/>
  <c r="K123" i="1"/>
  <c r="O122" i="1"/>
  <c r="N122" i="1"/>
  <c r="M122" i="1"/>
  <c r="L122" i="1"/>
  <c r="K122" i="1"/>
  <c r="O121" i="1"/>
  <c r="N121" i="1"/>
  <c r="M121" i="1"/>
  <c r="L121" i="1"/>
  <c r="K121" i="1"/>
  <c r="I120" i="1"/>
  <c r="N120" i="1" s="1"/>
  <c r="O119" i="1"/>
  <c r="N119" i="1"/>
  <c r="M119" i="1"/>
  <c r="L119" i="1"/>
  <c r="K119" i="1"/>
  <c r="O118" i="1"/>
  <c r="N118" i="1"/>
  <c r="M118" i="1"/>
  <c r="L118" i="1"/>
  <c r="K118" i="1"/>
  <c r="M117" i="1"/>
  <c r="L117" i="1"/>
  <c r="K117" i="1"/>
  <c r="K116" i="1"/>
  <c r="K115" i="1"/>
  <c r="O114" i="1"/>
  <c r="N114" i="1"/>
  <c r="M114" i="1"/>
  <c r="L114" i="1"/>
  <c r="K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L96" i="1"/>
  <c r="K96" i="1" s="1"/>
  <c r="B96" i="1"/>
  <c r="B95" i="1"/>
  <c r="B94" i="1"/>
  <c r="B93" i="1"/>
  <c r="B92" i="1"/>
  <c r="B91" i="1"/>
  <c r="B90" i="1"/>
  <c r="B89" i="1"/>
  <c r="B88" i="1"/>
  <c r="B87" i="1"/>
  <c r="B86" i="1"/>
  <c r="B85" i="1"/>
  <c r="L84" i="1"/>
  <c r="K84" i="1" s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L67" i="1"/>
  <c r="K67" i="1" s="1"/>
  <c r="B67" i="1"/>
  <c r="B66" i="1"/>
  <c r="B65" i="1"/>
  <c r="B64" i="1"/>
  <c r="B63" i="1"/>
  <c r="B62" i="1"/>
  <c r="B61" i="1"/>
  <c r="B60" i="1"/>
  <c r="L59" i="1"/>
  <c r="K59" i="1" s="1"/>
  <c r="B59" i="1"/>
  <c r="B58" i="1"/>
  <c r="B57" i="1"/>
  <c r="B56" i="1"/>
  <c r="B55" i="1"/>
  <c r="B54" i="1"/>
  <c r="B53" i="1"/>
  <c r="B52" i="1"/>
  <c r="B51" i="1"/>
  <c r="B50" i="1"/>
  <c r="B49" i="1"/>
  <c r="B48" i="1"/>
  <c r="L47" i="1"/>
  <c r="K47" i="1" s="1"/>
  <c r="B47" i="1"/>
  <c r="B46" i="1"/>
  <c r="B45" i="1"/>
  <c r="B44" i="1"/>
  <c r="B43" i="1"/>
  <c r="B42" i="1"/>
  <c r="B41" i="1"/>
  <c r="B40" i="1"/>
  <c r="B39" i="1"/>
  <c r="B38" i="1"/>
  <c r="L21" i="1"/>
  <c r="K21" i="1" s="1"/>
  <c r="K17" i="1"/>
  <c r="L12" i="1"/>
  <c r="K12" i="1" s="1"/>
  <c r="K152" i="1" l="1"/>
  <c r="L136" i="1"/>
  <c r="M136" i="1"/>
  <c r="K136" i="1"/>
  <c r="K120" i="1"/>
  <c r="N136" i="1"/>
  <c r="L120" i="1"/>
  <c r="M120" i="1"/>
  <c r="O120" i="1"/>
  <c r="L152" i="1"/>
  <c r="M152" i="1"/>
  <c r="N152" i="1"/>
</calcChain>
</file>

<file path=xl/sharedStrings.xml><?xml version="1.0" encoding="utf-8"?>
<sst xmlns="http://schemas.openxmlformats.org/spreadsheetml/2006/main" count="2441" uniqueCount="170">
  <si>
    <t>Finca</t>
  </si>
  <si>
    <t>DDS</t>
  </si>
  <si>
    <t>Cultivo</t>
  </si>
  <si>
    <t>Estado</t>
  </si>
  <si>
    <t>Activity</t>
  </si>
  <si>
    <t>Fertilization</t>
  </si>
  <si>
    <t>Tratamiento</t>
  </si>
  <si>
    <t>Product</t>
  </si>
  <si>
    <t>Cantidad_Kg_ha</t>
  </si>
  <si>
    <t>Cantidad_L_ha</t>
  </si>
  <si>
    <t>Aporte N (Kg/ha)</t>
  </si>
  <si>
    <t>Aporte NH4 (kg/ha)</t>
  </si>
  <si>
    <t>Aporte NO3 (kg/ha)</t>
  </si>
  <si>
    <t>Aporte P (Kg/ha)</t>
  </si>
  <si>
    <t>Aporte K (Kg/ha)</t>
  </si>
  <si>
    <t>Farm_1</t>
  </si>
  <si>
    <t>Arroz</t>
  </si>
  <si>
    <t>Aplicado</t>
  </si>
  <si>
    <t>Fertilizacion 1</t>
  </si>
  <si>
    <t>Convencional</t>
  </si>
  <si>
    <t>Triple 18</t>
  </si>
  <si>
    <t>null</t>
  </si>
  <si>
    <t>Sulfazinc</t>
  </si>
  <si>
    <t>Optimizado</t>
  </si>
  <si>
    <t>Nitroxtend XP-S</t>
  </si>
  <si>
    <t>Microessentials</t>
  </si>
  <si>
    <t>Kornkali</t>
  </si>
  <si>
    <t>Alternativo</t>
  </si>
  <si>
    <t>Volcano</t>
  </si>
  <si>
    <t>Fosfobiol</t>
  </si>
  <si>
    <t>Dimazos</t>
  </si>
  <si>
    <t>Fertilizacion 2</t>
  </si>
  <si>
    <t>Urea</t>
  </si>
  <si>
    <t>Fertilizacion 3</t>
  </si>
  <si>
    <t>KCL</t>
  </si>
  <si>
    <t>SAM</t>
  </si>
  <si>
    <t>Fertilizacion 4</t>
  </si>
  <si>
    <t>Fertilizacion 5</t>
  </si>
  <si>
    <t>Farm_2</t>
  </si>
  <si>
    <t>Kieserita</t>
  </si>
  <si>
    <t>Farm_3</t>
  </si>
  <si>
    <t>163</t>
  </si>
  <si>
    <t>Banano</t>
  </si>
  <si>
    <t>EMBAJADOR</t>
  </si>
  <si>
    <t>197</t>
  </si>
  <si>
    <t>Mezcla fisica YARA</t>
  </si>
  <si>
    <t>215</t>
  </si>
  <si>
    <t>263</t>
  </si>
  <si>
    <t>ABOTEK</t>
  </si>
  <si>
    <t>Fertilizacion 6</t>
  </si>
  <si>
    <t>Pendiente</t>
  </si>
  <si>
    <t>Fertilizacion 7</t>
  </si>
  <si>
    <t>ENMIENDA-PENTAX</t>
  </si>
  <si>
    <t>Fertilizacion 8</t>
  </si>
  <si>
    <t>Rafos</t>
  </si>
  <si>
    <t>Fertilizacion 9</t>
  </si>
  <si>
    <t>K-MID</t>
  </si>
  <si>
    <t>Fertilizacion 10</t>
  </si>
  <si>
    <t>Fertilizacion 11</t>
  </si>
  <si>
    <t>MEZCLA CALIDAD</t>
  </si>
  <si>
    <t>Fertilizacion 12</t>
  </si>
  <si>
    <t>KIESERITA</t>
  </si>
  <si>
    <t>Fertilizacion 13</t>
  </si>
  <si>
    <t>Fertilizacion 14</t>
  </si>
  <si>
    <t>MEZCLA CALIDAD - MANCHA</t>
  </si>
  <si>
    <t>168</t>
  </si>
  <si>
    <t>161</t>
  </si>
  <si>
    <t>221</t>
  </si>
  <si>
    <t>270</t>
  </si>
  <si>
    <t>Fertilizacion 15</t>
  </si>
  <si>
    <t>Fertilizacion 16</t>
  </si>
  <si>
    <t>160</t>
  </si>
  <si>
    <t>183</t>
  </si>
  <si>
    <t>Mezcla fisica 1</t>
  </si>
  <si>
    <t>Mezcla fisica 2</t>
  </si>
  <si>
    <t>Disan MF llenado</t>
  </si>
  <si>
    <t>YARA TERA CALCINIT</t>
  </si>
  <si>
    <t>Trat</t>
  </si>
  <si>
    <t>Crop</t>
  </si>
  <si>
    <t>Farm</t>
  </si>
  <si>
    <t>Sampling_date</t>
  </si>
  <si>
    <t>LAT</t>
  </si>
  <si>
    <t>LON</t>
  </si>
  <si>
    <t>Depth</t>
  </si>
  <si>
    <t>Tex</t>
  </si>
  <si>
    <t>Clay</t>
  </si>
  <si>
    <t>Silt</t>
  </si>
  <si>
    <t>Sand</t>
  </si>
  <si>
    <t>CO</t>
  </si>
  <si>
    <t>MO</t>
  </si>
  <si>
    <t xml:space="preserve">PBrayII </t>
  </si>
  <si>
    <t>Ca</t>
  </si>
  <si>
    <t>Mg</t>
  </si>
  <si>
    <t>K</t>
  </si>
  <si>
    <t>Na</t>
  </si>
  <si>
    <t>CIC</t>
  </si>
  <si>
    <t>NComb</t>
  </si>
  <si>
    <t>NAva</t>
  </si>
  <si>
    <t>PAva</t>
  </si>
  <si>
    <t>KAva</t>
  </si>
  <si>
    <t>pH</t>
  </si>
  <si>
    <t>Al</t>
  </si>
  <si>
    <t>Fe</t>
  </si>
  <si>
    <t>Mn</t>
  </si>
  <si>
    <t>Cu</t>
  </si>
  <si>
    <t>Zn</t>
  </si>
  <si>
    <t>B</t>
  </si>
  <si>
    <t>S</t>
  </si>
  <si>
    <t>Ccomb</t>
  </si>
  <si>
    <t>CICE</t>
  </si>
  <si>
    <t>DA</t>
  </si>
  <si>
    <t>Ntotal (g/kg)</t>
  </si>
  <si>
    <t>NNH4  (mg/kg)</t>
  </si>
  <si>
    <t>NNO3 (mg/kg)</t>
  </si>
  <si>
    <t>Alternative</t>
  </si>
  <si>
    <t>Rice</t>
  </si>
  <si>
    <t>0-30</t>
  </si>
  <si>
    <t>Franco Arcillo Arenoso</t>
  </si>
  <si>
    <t>Conventional</t>
  </si>
  <si>
    <t>Optimized</t>
  </si>
  <si>
    <t>Banana</t>
  </si>
  <si>
    <t>0-20</t>
  </si>
  <si>
    <t xml:space="preserve">Arcilloso </t>
  </si>
  <si>
    <t>Franco Arcilloso</t>
  </si>
  <si>
    <t>Arcillo Arenoso</t>
  </si>
  <si>
    <t>20-40</t>
  </si>
  <si>
    <t>Arcilloso</t>
  </si>
  <si>
    <t xml:space="preserve">Franco Arcilloso </t>
  </si>
  <si>
    <t>Afranco Arcillo Arenoso</t>
  </si>
  <si>
    <t>Variable</t>
  </si>
  <si>
    <t>Units</t>
  </si>
  <si>
    <t>DD</t>
  </si>
  <si>
    <t>cm</t>
  </si>
  <si>
    <t>%</t>
  </si>
  <si>
    <t>g/kg</t>
  </si>
  <si>
    <t>(mg/kg)</t>
  </si>
  <si>
    <t xml:space="preserve"> (cmol/kg)</t>
  </si>
  <si>
    <t>kg/ha</t>
  </si>
  <si>
    <t>Un</t>
  </si>
  <si>
    <t>mg/Kg.1</t>
  </si>
  <si>
    <t>mg/Kg</t>
  </si>
  <si>
    <t>gr/cm3</t>
  </si>
  <si>
    <t>NTotal</t>
  </si>
  <si>
    <t>N</t>
  </si>
  <si>
    <t>NNH4</t>
  </si>
  <si>
    <t>mg/kg</t>
  </si>
  <si>
    <t>NNO3</t>
  </si>
  <si>
    <t>Treatment</t>
  </si>
  <si>
    <t>Variedad</t>
  </si>
  <si>
    <t>Rendimiento_kg_ha</t>
  </si>
  <si>
    <t>Humedad_Cosecha</t>
  </si>
  <si>
    <t>Yield</t>
  </si>
  <si>
    <t>Bultos_ha</t>
  </si>
  <si>
    <t>Volcamiento_%</t>
  </si>
  <si>
    <t>N_grano_gkg</t>
  </si>
  <si>
    <t>Humedad_Inicial_%</t>
  </si>
  <si>
    <t>% Granos_llenos</t>
  </si>
  <si>
    <t>%Vaneamiento</t>
  </si>
  <si>
    <t>Ntotal</t>
  </si>
  <si>
    <t>Fertilizacion_N_Total</t>
  </si>
  <si>
    <t>N_Available</t>
  </si>
  <si>
    <t>NUE0</t>
  </si>
  <si>
    <t>NUE1</t>
  </si>
  <si>
    <t>Ingresos_Millions</t>
  </si>
  <si>
    <t>Fert_Inorganica</t>
  </si>
  <si>
    <t>Fert_Biologica</t>
  </si>
  <si>
    <t>Fert_MO</t>
  </si>
  <si>
    <t>Fert_Total</t>
  </si>
  <si>
    <t>F67</t>
  </si>
  <si>
    <t>Calida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</si>
</sst>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3" fillId="2" borderId="0" applyNumberFormat="0" applyBorder="0" applyAlignment="0" applyProtection="0"/>
  </cellStyleXfs>
  <cellXfs count="12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0" fillId="0" borderId="0" xfId="0" applyNumberFormat="1"/>
    <xf numFmtId="14" fontId="1" fillId="0" borderId="0" xfId="0" applyNumberFormat="1" applyFont="1"/>
    <xf numFmtId="0" fontId="3" fillId="2" borderId="0" xfId="2"/>
    <xf numFmtId="0" fontId="1" fillId="3" borderId="0" xfId="0" applyFont="1" applyFill="1"/>
    <xf numFmtId="0" fontId="0" fillId="0" borderId="0" xfId="0" applyAlignment="1">
      <alignment horizontal="center" vertical="center"/>
    </xf>
    <xf numFmtId="0" fontId="4" fillId="0" borderId="0" xfId="0" applyFont="1"/>
    <xf numFmtId="44" fontId="0" fillId="0" borderId="0" xfId="1" applyFont="1"/>
    <xf numFmtId="44" fontId="0" fillId="0" borderId="0" xfId="0" applyNumberFormat="1"/>
    <xf numFmtId="164" fontId="0" fillId="0" borderId="0" xfId="0" applyNumberFormat="1"/>
  </cellXfs>
  <cellStyles count="3">
    <cellStyle name="Bad" xfId="2" builtinId="27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cgiar-my.sharepoint.com/personal/m_a_romero_cgiar_org/Documents/PROYECTOS/FERTILIZE%20RIGHT/Fertilize%20Right%20ADMIN/ACTIVIDADES/A3.%20LB%20Suelos/PARCELAS%20ARROZ_USDA/Finalizacion%20de%201er%20ciclo/DA/Datos-calculados-Densidad-aparente.xlsx" TargetMode="External"/><Relationship Id="rId2" Type="http://schemas.microsoft.com/office/2019/04/relationships/externalLinkLongPath" Target="/personal/m_a_romero_cgiar_org/Documents/PROYECTOS/FERTILIZE%20RIGHT/Fertilize%20Right%20ADMIN/ACTIVIDADES/A3.%20LB%20Suelos/PARCELAS%20ARROZ_USDA/Finalizacion%20de%201er%20ciclo/DA/Datos-calculados-Densidad-aparente.xlsx?573F8830" TargetMode="External"/><Relationship Id="rId1" Type="http://schemas.openxmlformats.org/officeDocument/2006/relationships/externalLinkPath" Target="file:///\\573F8830\Datos-calculados-Densidad-aparent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giar-my.sharepoint.com/personal/m_a_romero_cgiar_org/Documents/PROYECTOS/FERTILIZE%20RIGHT/Fertilize%20Right%20ADMIN/ACTIVIDADES/GEI/Cronograma%20muestreos%20USDA_ARROZ%20y%20BANANO.xlsx" TargetMode="External"/><Relationship Id="rId1" Type="http://schemas.openxmlformats.org/officeDocument/2006/relationships/externalLinkPath" Target="/personal/m_a_romero_cgiar_org/Documents/PROYECTOS/FERTILIZE%20RIGHT/Fertilize%20Right%20ADMIN/ACTIVIDADES/GEI/Cronograma%20muestreos%20USDA_ARROZ%20y%20BANAN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DA"/>
    </sheetNames>
    <sheetDataSet>
      <sheetData sheetId="0">
        <row r="7">
          <cell r="K7">
            <v>1.7961896962804806</v>
          </cell>
        </row>
        <row r="8">
          <cell r="K8">
            <v>1.7603510857382436</v>
          </cell>
        </row>
        <row r="9">
          <cell r="K9">
            <v>1.7175581685888732</v>
          </cell>
        </row>
        <row r="10">
          <cell r="K10">
            <v>1.7300999873984775</v>
          </cell>
        </row>
        <row r="11">
          <cell r="K11">
            <v>1.7729561044250364</v>
          </cell>
        </row>
        <row r="12">
          <cell r="K12">
            <v>1.7086805310874544</v>
          </cell>
        </row>
        <row r="13">
          <cell r="K13">
            <v>1.867582529846249</v>
          </cell>
        </row>
        <row r="14">
          <cell r="K14">
            <v>1.4551939120547717</v>
          </cell>
        </row>
        <row r="15">
          <cell r="K15">
            <v>1.3781111229203422</v>
          </cell>
        </row>
        <row r="16">
          <cell r="K16">
            <v>1.2835810731256434</v>
          </cell>
        </row>
        <row r="17">
          <cell r="K17">
            <v>1.2846283194588224</v>
          </cell>
        </row>
        <row r="18">
          <cell r="K18">
            <v>1.2973655785957678</v>
          </cell>
        </row>
        <row r="19">
          <cell r="K19">
            <v>1.1588628603174642</v>
          </cell>
        </row>
        <row r="20">
          <cell r="K20">
            <v>1.5945480507916245</v>
          </cell>
        </row>
        <row r="21">
          <cell r="K21">
            <v>1.8125881908069963</v>
          </cell>
        </row>
        <row r="22">
          <cell r="K22">
            <v>1.7521539142752138</v>
          </cell>
        </row>
        <row r="23">
          <cell r="K23">
            <v>1.7917831911404682</v>
          </cell>
        </row>
        <row r="24">
          <cell r="K24">
            <v>1.8195257394496165</v>
          </cell>
        </row>
        <row r="25">
          <cell r="K25">
            <v>1.7380246329171203</v>
          </cell>
        </row>
        <row r="26">
          <cell r="K26">
            <v>1.7610989667529797</v>
          </cell>
        </row>
        <row r="27">
          <cell r="K27">
            <v>1.7674196959005897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ROZ_USDA"/>
      <sheetName val="BANANO_USDA"/>
      <sheetName val="Sheet1"/>
    </sheetNames>
    <sheetDataSet>
      <sheetData sheetId="0">
        <row r="6">
          <cell r="K6">
            <v>45593</v>
          </cell>
          <cell r="Q6">
            <v>45593</v>
          </cell>
          <cell r="T6">
            <v>45575</v>
          </cell>
        </row>
        <row r="8">
          <cell r="K8">
            <v>45604</v>
          </cell>
          <cell r="T8">
            <v>45594</v>
          </cell>
        </row>
        <row r="9">
          <cell r="K9">
            <v>45621</v>
          </cell>
          <cell r="T9">
            <v>45609</v>
          </cell>
        </row>
        <row r="10">
          <cell r="Q10">
            <v>45637</v>
          </cell>
          <cell r="T10">
            <v>45619</v>
          </cell>
        </row>
        <row r="11">
          <cell r="Q11">
            <v>45657</v>
          </cell>
          <cell r="T11">
            <v>45629</v>
          </cell>
        </row>
        <row r="12">
          <cell r="T12">
            <v>45644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B0B36-3C8A-4797-80D6-7C6C0ED0768E}">
  <dimension ref="A1:B37"/>
  <sheetViews>
    <sheetView topLeftCell="A4" workbookViewId="0">
      <selection activeCell="A4" sqref="A4"/>
    </sheetView>
  </sheetViews>
  <sheetFormatPr defaultRowHeight="14.5" x14ac:dyDescent="0.35"/>
  <cols>
    <col min="1" max="1" width="14.54296875" bestFit="1" customWidth="1"/>
  </cols>
  <sheetData>
    <row r="1" spans="1:2" x14ac:dyDescent="0.35">
      <c r="A1" s="8" t="s">
        <v>129</v>
      </c>
      <c r="B1" s="8" t="s">
        <v>130</v>
      </c>
    </row>
    <row r="2" spans="1:2" x14ac:dyDescent="0.35">
      <c r="A2" t="s">
        <v>77</v>
      </c>
    </row>
    <row r="3" spans="1:2" x14ac:dyDescent="0.35">
      <c r="A3" t="s">
        <v>78</v>
      </c>
    </row>
    <row r="4" spans="1:2" x14ac:dyDescent="0.35">
      <c r="A4" t="s">
        <v>79</v>
      </c>
    </row>
    <row r="5" spans="1:2" x14ac:dyDescent="0.35">
      <c r="A5" t="s">
        <v>81</v>
      </c>
      <c r="B5" t="s">
        <v>131</v>
      </c>
    </row>
    <row r="6" spans="1:2" x14ac:dyDescent="0.35">
      <c r="A6" t="s">
        <v>82</v>
      </c>
      <c r="B6" t="s">
        <v>131</v>
      </c>
    </row>
    <row r="7" spans="1:2" x14ac:dyDescent="0.35">
      <c r="A7" t="s">
        <v>83</v>
      </c>
      <c r="B7" t="s">
        <v>132</v>
      </c>
    </row>
    <row r="8" spans="1:2" x14ac:dyDescent="0.35">
      <c r="A8" t="s">
        <v>84</v>
      </c>
    </row>
    <row r="9" spans="1:2" x14ac:dyDescent="0.35">
      <c r="A9" t="s">
        <v>85</v>
      </c>
      <c r="B9" t="s">
        <v>133</v>
      </c>
    </row>
    <row r="10" spans="1:2" x14ac:dyDescent="0.35">
      <c r="A10" t="s">
        <v>86</v>
      </c>
      <c r="B10" t="s">
        <v>133</v>
      </c>
    </row>
    <row r="11" spans="1:2" x14ac:dyDescent="0.35">
      <c r="A11" t="s">
        <v>87</v>
      </c>
      <c r="B11" t="s">
        <v>133</v>
      </c>
    </row>
    <row r="12" spans="1:2" x14ac:dyDescent="0.35">
      <c r="A12" t="s">
        <v>88</v>
      </c>
      <c r="B12" t="s">
        <v>134</v>
      </c>
    </row>
    <row r="13" spans="1:2" x14ac:dyDescent="0.35">
      <c r="A13" t="s">
        <v>89</v>
      </c>
    </row>
    <row r="14" spans="1:2" x14ac:dyDescent="0.35">
      <c r="A14" t="s">
        <v>90</v>
      </c>
      <c r="B14" t="s">
        <v>135</v>
      </c>
    </row>
    <row r="15" spans="1:2" x14ac:dyDescent="0.35">
      <c r="A15" t="s">
        <v>91</v>
      </c>
      <c r="B15" t="s">
        <v>136</v>
      </c>
    </row>
    <row r="16" spans="1:2" x14ac:dyDescent="0.35">
      <c r="A16" t="s">
        <v>92</v>
      </c>
      <c r="B16" t="s">
        <v>136</v>
      </c>
    </row>
    <row r="17" spans="1:2" x14ac:dyDescent="0.35">
      <c r="A17" t="s">
        <v>93</v>
      </c>
      <c r="B17" t="s">
        <v>136</v>
      </c>
    </row>
    <row r="18" spans="1:2" x14ac:dyDescent="0.35">
      <c r="A18" t="s">
        <v>94</v>
      </c>
      <c r="B18" t="s">
        <v>136</v>
      </c>
    </row>
    <row r="19" spans="1:2" x14ac:dyDescent="0.35">
      <c r="A19" t="s">
        <v>95</v>
      </c>
      <c r="B19" t="s">
        <v>136</v>
      </c>
    </row>
    <row r="20" spans="1:2" x14ac:dyDescent="0.35">
      <c r="A20" t="s">
        <v>96</v>
      </c>
      <c r="B20" t="s">
        <v>133</v>
      </c>
    </row>
    <row r="21" spans="1:2" x14ac:dyDescent="0.35">
      <c r="A21" t="s">
        <v>97</v>
      </c>
      <c r="B21" t="s">
        <v>137</v>
      </c>
    </row>
    <row r="22" spans="1:2" x14ac:dyDescent="0.35">
      <c r="A22" t="s">
        <v>98</v>
      </c>
      <c r="B22" t="s">
        <v>137</v>
      </c>
    </row>
    <row r="23" spans="1:2" x14ac:dyDescent="0.35">
      <c r="A23" t="s">
        <v>99</v>
      </c>
      <c r="B23" t="s">
        <v>137</v>
      </c>
    </row>
    <row r="24" spans="1:2" x14ac:dyDescent="0.35">
      <c r="A24" t="s">
        <v>100</v>
      </c>
      <c r="B24" t="s">
        <v>138</v>
      </c>
    </row>
    <row r="25" spans="1:2" x14ac:dyDescent="0.35">
      <c r="A25" t="s">
        <v>101</v>
      </c>
      <c r="B25" t="s">
        <v>136</v>
      </c>
    </row>
    <row r="26" spans="1:2" x14ac:dyDescent="0.35">
      <c r="A26" t="s">
        <v>102</v>
      </c>
      <c r="B26" t="s">
        <v>139</v>
      </c>
    </row>
    <row r="27" spans="1:2" x14ac:dyDescent="0.35">
      <c r="A27" t="s">
        <v>103</v>
      </c>
      <c r="B27" t="s">
        <v>139</v>
      </c>
    </row>
    <row r="28" spans="1:2" x14ac:dyDescent="0.35">
      <c r="A28" t="s">
        <v>104</v>
      </c>
      <c r="B28" t="s">
        <v>139</v>
      </c>
    </row>
    <row r="29" spans="1:2" x14ac:dyDescent="0.35">
      <c r="A29" t="s">
        <v>105</v>
      </c>
      <c r="B29" t="s">
        <v>140</v>
      </c>
    </row>
    <row r="30" spans="1:2" x14ac:dyDescent="0.35">
      <c r="A30" t="s">
        <v>106</v>
      </c>
      <c r="B30" t="s">
        <v>140</v>
      </c>
    </row>
    <row r="31" spans="1:2" x14ac:dyDescent="0.35">
      <c r="A31" t="s">
        <v>107</v>
      </c>
      <c r="B31" t="s">
        <v>140</v>
      </c>
    </row>
    <row r="32" spans="1:2" x14ac:dyDescent="0.35">
      <c r="A32" t="s">
        <v>108</v>
      </c>
      <c r="B32" t="s">
        <v>133</v>
      </c>
    </row>
    <row r="33" spans="1:2" x14ac:dyDescent="0.35">
      <c r="A33" t="s">
        <v>109</v>
      </c>
      <c r="B33" t="s">
        <v>136</v>
      </c>
    </row>
    <row r="34" spans="1:2" x14ac:dyDescent="0.35">
      <c r="A34" t="s">
        <v>110</v>
      </c>
      <c r="B34" t="s">
        <v>141</v>
      </c>
    </row>
    <row r="35" spans="1:2" x14ac:dyDescent="0.35">
      <c r="A35" t="s">
        <v>142</v>
      </c>
      <c r="B35" t="s">
        <v>143</v>
      </c>
    </row>
    <row r="36" spans="1:2" x14ac:dyDescent="0.35">
      <c r="A36" t="s">
        <v>144</v>
      </c>
      <c r="B36" t="s">
        <v>145</v>
      </c>
    </row>
    <row r="37" spans="1:2" x14ac:dyDescent="0.35">
      <c r="A37" t="s">
        <v>146</v>
      </c>
      <c r="B37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7DD21-2128-495B-96CE-BE1663CCD5C8}">
  <sheetPr filterMode="1"/>
  <dimension ref="A1:AK46"/>
  <sheetViews>
    <sheetView tabSelected="1" workbookViewId="0">
      <selection activeCell="L10" sqref="L10"/>
    </sheetView>
  </sheetViews>
  <sheetFormatPr defaultRowHeight="14.5" x14ac:dyDescent="0.35"/>
  <cols>
    <col min="1" max="1" width="13.54296875" bestFit="1" customWidth="1"/>
    <col min="2" max="2" width="9.26953125" bestFit="1" customWidth="1"/>
    <col min="3" max="3" width="7.81640625" bestFit="1" customWidth="1"/>
    <col min="4" max="4" width="16.54296875" bestFit="1" customWidth="1"/>
    <col min="5" max="5" width="12" customWidth="1"/>
    <col min="6" max="6" width="12.7265625" customWidth="1"/>
    <col min="8" max="8" width="21.26953125" bestFit="1" customWidth="1"/>
    <col min="21" max="21" width="15.453125" style="3" bestFit="1" customWidth="1"/>
    <col min="22" max="23" width="15.453125" style="3" customWidth="1"/>
    <col min="24" max="37" width="9.1796875" customWidth="1"/>
    <col min="38" max="39" width="12" bestFit="1" customWidth="1"/>
  </cols>
  <sheetData>
    <row r="1" spans="1:37" x14ac:dyDescent="0.35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2" t="s">
        <v>97</v>
      </c>
      <c r="V1" s="2" t="s">
        <v>98</v>
      </c>
      <c r="W1" s="2" t="s">
        <v>99</v>
      </c>
      <c r="X1" s="1" t="s">
        <v>100</v>
      </c>
      <c r="Y1" s="1" t="s">
        <v>101</v>
      </c>
      <c r="Z1" s="1" t="s">
        <v>102</v>
      </c>
      <c r="AA1" s="1" t="s">
        <v>103</v>
      </c>
      <c r="AB1" s="1" t="s">
        <v>104</v>
      </c>
      <c r="AC1" s="1" t="s">
        <v>105</v>
      </c>
      <c r="AD1" s="1" t="s">
        <v>106</v>
      </c>
      <c r="AE1" s="1" t="s">
        <v>107</v>
      </c>
      <c r="AF1" s="1" t="s">
        <v>108</v>
      </c>
      <c r="AG1" s="1" t="s">
        <v>109</v>
      </c>
      <c r="AH1" s="1" t="s">
        <v>110</v>
      </c>
      <c r="AI1" s="1" t="s">
        <v>111</v>
      </c>
      <c r="AJ1" s="1" t="s">
        <v>112</v>
      </c>
      <c r="AK1" s="1" t="s">
        <v>113</v>
      </c>
    </row>
    <row r="2" spans="1:37" x14ac:dyDescent="0.35">
      <c r="A2" s="1" t="s">
        <v>114</v>
      </c>
      <c r="B2" s="1" t="s">
        <v>115</v>
      </c>
      <c r="C2" s="1" t="s">
        <v>15</v>
      </c>
      <c r="D2" s="4">
        <v>45527</v>
      </c>
      <c r="E2" s="1">
        <v>4.1599512550000002</v>
      </c>
      <c r="F2" s="1">
        <v>-74.913889549999993</v>
      </c>
      <c r="G2" s="1" t="s">
        <v>116</v>
      </c>
      <c r="H2" s="1" t="s">
        <v>117</v>
      </c>
      <c r="I2" s="1">
        <v>0.2243718593</v>
      </c>
      <c r="J2" s="1">
        <v>7.9899497489999999E-2</v>
      </c>
      <c r="K2" s="1">
        <v>0.69572864319999994</v>
      </c>
      <c r="L2" s="1">
        <v>6.65</v>
      </c>
      <c r="M2" s="1">
        <v>15.1</v>
      </c>
      <c r="N2" s="1">
        <v>40.729999999999997</v>
      </c>
      <c r="O2" s="1">
        <v>7.19</v>
      </c>
      <c r="P2" s="1">
        <v>1.2</v>
      </c>
      <c r="Q2" s="1">
        <v>0.13</v>
      </c>
      <c r="R2" s="1">
        <v>0.122</v>
      </c>
      <c r="S2" s="1">
        <v>5.1689999999999996</v>
      </c>
      <c r="T2" s="1">
        <v>4.7E-2</v>
      </c>
      <c r="U2" s="2">
        <v>26.530560000000001</v>
      </c>
      <c r="V2" s="2">
        <f t="shared" ref="V2:V28" si="0">+(((10000*0.2*AH2*1000)*N2)/1000000)*50%</f>
        <v>68.426400000000001</v>
      </c>
      <c r="W2" s="2">
        <f t="shared" ref="W2:W28" si="1">+(((10000*0.2*AH2*1000)*(Q2*390))/1000000)*75%</f>
        <v>127.76400000000001</v>
      </c>
      <c r="X2" s="1">
        <v>6.94</v>
      </c>
      <c r="Y2" s="1" t="s">
        <v>21</v>
      </c>
      <c r="Z2" s="1">
        <v>22.51</v>
      </c>
      <c r="AA2" s="1">
        <v>24.26</v>
      </c>
      <c r="AB2" s="1">
        <v>1.9770000000000001</v>
      </c>
      <c r="AC2" s="1">
        <v>2.746</v>
      </c>
      <c r="AD2" s="1">
        <v>0.77600000000000002</v>
      </c>
      <c r="AE2" s="1">
        <v>22.86</v>
      </c>
      <c r="AF2" s="1">
        <v>0.58299999999999996</v>
      </c>
      <c r="AG2" s="1" t="s">
        <v>21</v>
      </c>
      <c r="AH2" s="1">
        <v>1.68</v>
      </c>
      <c r="AI2" s="1">
        <v>0.83</v>
      </c>
      <c r="AJ2" s="1">
        <v>5.28</v>
      </c>
      <c r="AK2" s="1">
        <v>52.54</v>
      </c>
    </row>
    <row r="3" spans="1:37" x14ac:dyDescent="0.35">
      <c r="A3" s="1" t="s">
        <v>118</v>
      </c>
      <c r="B3" s="1" t="s">
        <v>115</v>
      </c>
      <c r="C3" s="1" t="s">
        <v>15</v>
      </c>
      <c r="D3" s="4">
        <v>45527</v>
      </c>
      <c r="E3" s="1">
        <v>4.159654873</v>
      </c>
      <c r="F3" s="1">
        <v>-74.913912420000003</v>
      </c>
      <c r="G3" s="1" t="s">
        <v>116</v>
      </c>
      <c r="H3" s="1" t="s">
        <v>117</v>
      </c>
      <c r="I3" s="1">
        <v>0.2366017664</v>
      </c>
      <c r="J3" s="1">
        <v>0.1048775592</v>
      </c>
      <c r="K3" s="1">
        <v>0.65852067439999995</v>
      </c>
      <c r="L3" s="1">
        <v>7.83</v>
      </c>
      <c r="M3" s="1">
        <v>17.78</v>
      </c>
      <c r="N3" s="1">
        <v>43.47</v>
      </c>
      <c r="O3" s="1">
        <v>3.71</v>
      </c>
      <c r="P3" s="1">
        <v>1.2</v>
      </c>
      <c r="Q3" s="1">
        <v>0.17</v>
      </c>
      <c r="R3" s="1">
        <v>0.14599999999999999</v>
      </c>
      <c r="S3" s="1">
        <v>6.7050000000000001</v>
      </c>
      <c r="T3" s="1">
        <v>5.2999999999999999E-2</v>
      </c>
      <c r="U3" s="2">
        <v>27.958559999999995</v>
      </c>
      <c r="V3" s="2">
        <f t="shared" si="0"/>
        <v>68.247900000000001</v>
      </c>
      <c r="W3" s="2">
        <f t="shared" si="1"/>
        <v>156.13650000000001</v>
      </c>
      <c r="X3" s="1">
        <v>6.83</v>
      </c>
      <c r="Y3" s="1" t="s">
        <v>21</v>
      </c>
      <c r="Z3" s="1">
        <v>25.17</v>
      </c>
      <c r="AA3" s="1">
        <v>31.81</v>
      </c>
      <c r="AB3" s="1">
        <v>2.1509999999999998</v>
      </c>
      <c r="AC3" s="1">
        <v>3.63</v>
      </c>
      <c r="AD3" s="1">
        <v>0.66100000000000003</v>
      </c>
      <c r="AE3" s="1">
        <v>54.41</v>
      </c>
      <c r="AF3" s="1">
        <v>0.63900000000000001</v>
      </c>
      <c r="AG3" s="1" t="s">
        <v>21</v>
      </c>
      <c r="AH3" s="1">
        <v>1.57</v>
      </c>
      <c r="AI3" s="1">
        <v>0.77</v>
      </c>
      <c r="AJ3" s="1">
        <v>7.25</v>
      </c>
      <c r="AK3" s="1">
        <v>41.86</v>
      </c>
    </row>
    <row r="4" spans="1:37" x14ac:dyDescent="0.35">
      <c r="A4" s="1" t="s">
        <v>119</v>
      </c>
      <c r="B4" s="1" t="s">
        <v>115</v>
      </c>
      <c r="C4" s="1" t="s">
        <v>15</v>
      </c>
      <c r="D4" s="4">
        <v>45527</v>
      </c>
      <c r="E4" s="1">
        <v>4.1598125450000003</v>
      </c>
      <c r="F4" s="1">
        <v>-74.914047460000006</v>
      </c>
      <c r="G4" s="1" t="s">
        <v>116</v>
      </c>
      <c r="H4" s="1" t="s">
        <v>117</v>
      </c>
      <c r="I4" s="1">
        <v>0.2376033058</v>
      </c>
      <c r="J4" s="1">
        <v>0.14311630719999999</v>
      </c>
      <c r="K4" s="1">
        <v>0.61928038699999999</v>
      </c>
      <c r="L4" s="1">
        <v>8.64</v>
      </c>
      <c r="M4" s="1">
        <v>19.62</v>
      </c>
      <c r="N4" s="1">
        <v>38.619999999999997</v>
      </c>
      <c r="O4" s="1">
        <v>4.68</v>
      </c>
      <c r="P4" s="1">
        <v>1.41</v>
      </c>
      <c r="Q4" s="1">
        <v>0.16</v>
      </c>
      <c r="R4" s="1">
        <v>0.158</v>
      </c>
      <c r="S4" s="1">
        <v>7.0919999999999996</v>
      </c>
      <c r="T4" s="1">
        <v>5.8999999999999997E-2</v>
      </c>
      <c r="U4" s="2">
        <v>33.106079999999999</v>
      </c>
      <c r="V4" s="2">
        <f t="shared" si="0"/>
        <v>64.495399999999989</v>
      </c>
      <c r="W4" s="2">
        <f t="shared" si="1"/>
        <v>156.31200000000001</v>
      </c>
      <c r="X4" s="1">
        <v>6.92</v>
      </c>
      <c r="Y4" s="1" t="s">
        <v>21</v>
      </c>
      <c r="Z4" s="1">
        <v>18.14</v>
      </c>
      <c r="AA4" s="1">
        <v>31.07</v>
      </c>
      <c r="AB4" s="1">
        <v>2.169</v>
      </c>
      <c r="AC4" s="1">
        <v>2.766</v>
      </c>
      <c r="AD4" s="1">
        <v>0.67100000000000004</v>
      </c>
      <c r="AE4" s="1">
        <v>18.760000000000002</v>
      </c>
      <c r="AF4" s="1">
        <v>0.71</v>
      </c>
      <c r="AG4" s="1" t="s">
        <v>21</v>
      </c>
      <c r="AH4" s="1">
        <v>1.67</v>
      </c>
      <c r="AI4" s="1">
        <v>1.1499999999999999</v>
      </c>
      <c r="AJ4" s="1">
        <v>5.52</v>
      </c>
      <c r="AK4" s="1">
        <v>37.74</v>
      </c>
    </row>
    <row r="5" spans="1:37" x14ac:dyDescent="0.35">
      <c r="A5" s="1" t="s">
        <v>114</v>
      </c>
      <c r="B5" s="1" t="s">
        <v>115</v>
      </c>
      <c r="C5" s="1" t="s">
        <v>38</v>
      </c>
      <c r="D5" s="4">
        <v>45527</v>
      </c>
      <c r="E5" s="1">
        <v>4.1162645820000003</v>
      </c>
      <c r="F5" s="1">
        <v>-74.894875470000002</v>
      </c>
      <c r="G5" s="1" t="s">
        <v>116</v>
      </c>
      <c r="H5" s="1" t="s">
        <v>117</v>
      </c>
      <c r="I5" s="1">
        <v>0.1744361659</v>
      </c>
      <c r="J5" s="1">
        <v>0.15102698349999999</v>
      </c>
      <c r="K5" s="1">
        <v>0.67453685060000002</v>
      </c>
      <c r="L5" s="1">
        <v>4.1500000000000004</v>
      </c>
      <c r="M5" s="1">
        <v>9.41</v>
      </c>
      <c r="N5" s="1">
        <v>8.3699999999999992</v>
      </c>
      <c r="O5" s="1">
        <v>3.4</v>
      </c>
      <c r="P5" s="1">
        <v>0.69</v>
      </c>
      <c r="Q5" s="1">
        <v>0.15</v>
      </c>
      <c r="R5" s="1">
        <v>7.3999999999999996E-2</v>
      </c>
      <c r="S5" s="1">
        <v>5.3529999999999998</v>
      </c>
      <c r="T5" s="1">
        <v>0.04</v>
      </c>
      <c r="U5" s="2">
        <v>23.788799999999995</v>
      </c>
      <c r="V5" s="2">
        <f t="shared" si="0"/>
        <v>14.814899999999998</v>
      </c>
      <c r="W5" s="2">
        <f t="shared" si="1"/>
        <v>155.3175</v>
      </c>
      <c r="X5" s="1">
        <v>6.33</v>
      </c>
      <c r="Y5" s="1" t="s">
        <v>21</v>
      </c>
      <c r="Z5" s="1">
        <v>5.6420000000000003</v>
      </c>
      <c r="AA5" s="1">
        <v>13.43</v>
      </c>
      <c r="AB5" s="1">
        <v>0.48799999999999999</v>
      </c>
      <c r="AC5" s="1">
        <v>1.458</v>
      </c>
      <c r="AD5" s="1">
        <v>0.51700000000000002</v>
      </c>
      <c r="AE5" s="1">
        <v>63.77</v>
      </c>
      <c r="AF5" s="1">
        <v>0.40799999999999997</v>
      </c>
      <c r="AG5" s="1" t="s">
        <v>21</v>
      </c>
      <c r="AH5" s="1">
        <v>1.77</v>
      </c>
      <c r="AI5" s="1">
        <v>0.73</v>
      </c>
      <c r="AJ5" s="1">
        <v>4.71</v>
      </c>
      <c r="AK5" s="1">
        <v>24.84</v>
      </c>
    </row>
    <row r="6" spans="1:37" x14ac:dyDescent="0.35">
      <c r="A6" s="1" t="s">
        <v>118</v>
      </c>
      <c r="B6" s="1" t="s">
        <v>115</v>
      </c>
      <c r="C6" s="1" t="s">
        <v>38</v>
      </c>
      <c r="D6" s="4">
        <v>45527</v>
      </c>
      <c r="E6" s="1">
        <v>4.1160149290000003</v>
      </c>
      <c r="F6" s="1">
        <v>-74.894588099999993</v>
      </c>
      <c r="G6" s="1" t="s">
        <v>116</v>
      </c>
      <c r="H6" s="1" t="s">
        <v>117</v>
      </c>
      <c r="I6" s="1">
        <v>0.33256172839999998</v>
      </c>
      <c r="J6" s="1">
        <v>0.33899176949999998</v>
      </c>
      <c r="K6" s="1">
        <v>0.32844650209999998</v>
      </c>
      <c r="L6" s="1">
        <v>4.1100000000000003</v>
      </c>
      <c r="M6" s="1">
        <v>9.34</v>
      </c>
      <c r="N6" s="1">
        <v>11.06</v>
      </c>
      <c r="O6" s="1">
        <v>3.48</v>
      </c>
      <c r="P6" s="1">
        <v>0.8</v>
      </c>
      <c r="Q6" s="1">
        <v>0.15</v>
      </c>
      <c r="R6" s="1">
        <v>7.5999999999999998E-2</v>
      </c>
      <c r="S6" s="1">
        <v>5.3529999999999998</v>
      </c>
      <c r="T6" s="1">
        <v>5.0999999999999997E-2</v>
      </c>
      <c r="U6" s="2">
        <v>26.167679999999997</v>
      </c>
      <c r="V6" s="2">
        <f t="shared" si="0"/>
        <v>18.912600000000001</v>
      </c>
      <c r="W6" s="2">
        <f t="shared" si="1"/>
        <v>150.05250000000001</v>
      </c>
      <c r="X6" s="1">
        <v>6.31</v>
      </c>
      <c r="Y6" s="1" t="s">
        <v>21</v>
      </c>
      <c r="Z6" s="1">
        <v>5.5039999999999996</v>
      </c>
      <c r="AA6" s="1">
        <v>15.31</v>
      </c>
      <c r="AB6" s="1">
        <v>0.73799999999999999</v>
      </c>
      <c r="AC6" s="1">
        <v>5.1120000000000001</v>
      </c>
      <c r="AD6" s="1">
        <v>0.51600000000000001</v>
      </c>
      <c r="AE6" s="1">
        <v>51.92</v>
      </c>
      <c r="AF6" s="1">
        <v>0.43099999999999999</v>
      </c>
      <c r="AG6" s="1" t="s">
        <v>21</v>
      </c>
      <c r="AH6" s="1">
        <v>1.71</v>
      </c>
      <c r="AI6" s="1">
        <v>0.72</v>
      </c>
      <c r="AJ6" s="1">
        <v>4.96</v>
      </c>
      <c r="AK6" s="1">
        <v>5.19</v>
      </c>
    </row>
    <row r="7" spans="1:37" x14ac:dyDescent="0.35">
      <c r="A7" s="1" t="s">
        <v>119</v>
      </c>
      <c r="B7" s="1" t="s">
        <v>115</v>
      </c>
      <c r="C7" s="1" t="s">
        <v>38</v>
      </c>
      <c r="D7" s="4">
        <v>45527</v>
      </c>
      <c r="E7" s="1">
        <v>4.1160061890000001</v>
      </c>
      <c r="F7" s="1">
        <v>-74.894839439999998</v>
      </c>
      <c r="G7" s="1" t="s">
        <v>116</v>
      </c>
      <c r="H7" s="1" t="s">
        <v>117</v>
      </c>
      <c r="I7" s="1">
        <v>0.27808874410000001</v>
      </c>
      <c r="J7" s="1">
        <v>0.2671483818</v>
      </c>
      <c r="K7" s="1">
        <v>0.45476287399999998</v>
      </c>
      <c r="L7" s="1">
        <v>4.92</v>
      </c>
      <c r="M7" s="1">
        <v>11.18</v>
      </c>
      <c r="N7" s="1">
        <v>13.36</v>
      </c>
      <c r="O7" s="1">
        <v>2.8</v>
      </c>
      <c r="P7" s="1">
        <v>0.72</v>
      </c>
      <c r="Q7" s="1">
        <v>0.15</v>
      </c>
      <c r="R7" s="1">
        <v>9.1999999999999998E-2</v>
      </c>
      <c r="S7" s="1">
        <v>5.1609999999999996</v>
      </c>
      <c r="T7" s="1">
        <v>4.8000000000000001E-2</v>
      </c>
      <c r="U7" s="2">
        <v>28.546559999999999</v>
      </c>
      <c r="V7" s="2">
        <f t="shared" si="0"/>
        <v>23.647200000000002</v>
      </c>
      <c r="W7" s="2">
        <f t="shared" si="1"/>
        <v>155.3175</v>
      </c>
      <c r="X7" s="1">
        <v>6.27</v>
      </c>
      <c r="Y7" s="1" t="s">
        <v>21</v>
      </c>
      <c r="Z7" s="1">
        <v>7.2149999999999999</v>
      </c>
      <c r="AA7" s="1">
        <v>14.58</v>
      </c>
      <c r="AB7" s="1">
        <v>0.622</v>
      </c>
      <c r="AC7" s="1">
        <v>2.2850000000000001</v>
      </c>
      <c r="AD7" s="1">
        <v>0.51100000000000001</v>
      </c>
      <c r="AE7" s="1">
        <v>24.04</v>
      </c>
      <c r="AF7" s="1">
        <v>0.503</v>
      </c>
      <c r="AG7" s="1" t="s">
        <v>21</v>
      </c>
      <c r="AH7" s="1">
        <v>1.77</v>
      </c>
      <c r="AI7" s="1">
        <v>0.85</v>
      </c>
      <c r="AJ7" s="1">
        <v>4.67</v>
      </c>
      <c r="AK7" s="1">
        <v>31.54</v>
      </c>
    </row>
    <row r="8" spans="1:37" x14ac:dyDescent="0.35">
      <c r="A8" s="1" t="s">
        <v>114</v>
      </c>
      <c r="B8" s="1" t="s">
        <v>115</v>
      </c>
      <c r="C8" s="1" t="s">
        <v>40</v>
      </c>
      <c r="D8" s="4">
        <v>45527</v>
      </c>
      <c r="E8" s="1">
        <v>4.0768869319999999</v>
      </c>
      <c r="F8" s="1">
        <v>-74.930371320000006</v>
      </c>
      <c r="G8" s="1" t="s">
        <v>116</v>
      </c>
      <c r="H8" s="1" t="s">
        <v>117</v>
      </c>
      <c r="I8" s="1">
        <v>0.21305394020000001</v>
      </c>
      <c r="J8" s="1">
        <v>0.1611690395</v>
      </c>
      <c r="K8" s="1">
        <v>0.62577702029999993</v>
      </c>
      <c r="L8" s="1">
        <v>2.5499999999999998</v>
      </c>
      <c r="M8" s="1">
        <v>5.8</v>
      </c>
      <c r="N8" s="1">
        <v>95.55</v>
      </c>
      <c r="O8" s="1">
        <v>6.93</v>
      </c>
      <c r="P8" s="1">
        <v>1.59</v>
      </c>
      <c r="Q8" s="1">
        <v>0.18</v>
      </c>
      <c r="R8" s="1">
        <v>0.28399999999999997</v>
      </c>
      <c r="S8" s="1">
        <v>8.8149999999999995</v>
      </c>
      <c r="T8" s="1">
        <v>2.5000000000000001E-2</v>
      </c>
      <c r="U8" s="2">
        <v>12.347999999999997</v>
      </c>
      <c r="V8" s="2">
        <f t="shared" si="0"/>
        <v>140.45849999999999</v>
      </c>
      <c r="W8" s="2">
        <f t="shared" si="1"/>
        <v>154.791</v>
      </c>
      <c r="X8" s="1">
        <v>7.81</v>
      </c>
      <c r="Y8" s="1" t="s">
        <v>21</v>
      </c>
      <c r="Z8" s="1">
        <v>3.3210000000000002</v>
      </c>
      <c r="AA8" s="1">
        <v>16.850000000000001</v>
      </c>
      <c r="AB8" s="1">
        <v>0.115</v>
      </c>
      <c r="AC8" s="1">
        <v>0.80900000000000005</v>
      </c>
      <c r="AD8" s="1">
        <v>0.51100000000000001</v>
      </c>
      <c r="AE8" s="1">
        <v>42.98</v>
      </c>
      <c r="AF8" s="1">
        <v>0.14199999999999999</v>
      </c>
      <c r="AG8" s="1" t="s">
        <v>21</v>
      </c>
      <c r="AH8" s="1">
        <v>1.47</v>
      </c>
      <c r="AI8" s="1">
        <v>0.64</v>
      </c>
      <c r="AJ8" s="1">
        <v>6.11</v>
      </c>
      <c r="AK8" s="1">
        <v>14.75</v>
      </c>
    </row>
    <row r="9" spans="1:37" x14ac:dyDescent="0.35">
      <c r="A9" s="1" t="s">
        <v>118</v>
      </c>
      <c r="B9" s="1" t="s">
        <v>115</v>
      </c>
      <c r="C9" s="1" t="s">
        <v>40</v>
      </c>
      <c r="D9" s="4">
        <v>45527</v>
      </c>
      <c r="E9" s="1">
        <v>4.0772288510000001</v>
      </c>
      <c r="F9" s="1">
        <v>-74.930351329999993</v>
      </c>
      <c r="G9" s="1" t="s">
        <v>116</v>
      </c>
      <c r="H9" s="1" t="s">
        <v>117</v>
      </c>
      <c r="I9" s="1">
        <v>0.213267764</v>
      </c>
      <c r="J9" s="1">
        <v>0.21151144120000001</v>
      </c>
      <c r="K9" s="1">
        <v>0.5752207949</v>
      </c>
      <c r="L9" s="1">
        <v>3.93</v>
      </c>
      <c r="M9" s="1">
        <v>8.92</v>
      </c>
      <c r="N9" s="1">
        <v>56.21</v>
      </c>
      <c r="O9" s="1">
        <v>9.91</v>
      </c>
      <c r="P9" s="1">
        <v>3.14</v>
      </c>
      <c r="Q9" s="1">
        <v>0.48</v>
      </c>
      <c r="R9" s="1">
        <v>0.47099999999999997</v>
      </c>
      <c r="S9" s="5">
        <v>20.16</v>
      </c>
      <c r="T9" s="1">
        <v>3.9E-2</v>
      </c>
      <c r="U9" s="2">
        <v>18.738719999999997</v>
      </c>
      <c r="V9" s="2">
        <f t="shared" si="0"/>
        <v>80.380300000000005</v>
      </c>
      <c r="W9" s="2">
        <f t="shared" si="1"/>
        <v>401.54399999999998</v>
      </c>
      <c r="X9" s="1">
        <v>7.46</v>
      </c>
      <c r="Y9" s="1" t="s">
        <v>21</v>
      </c>
      <c r="Z9" s="1">
        <v>0.28799999999999998</v>
      </c>
      <c r="AA9" s="1">
        <v>9.6359999999999992</v>
      </c>
      <c r="AB9" s="1">
        <v>7.2999999999999995E-2</v>
      </c>
      <c r="AC9" s="1">
        <v>0.76200000000000001</v>
      </c>
      <c r="AD9" s="1">
        <v>0.67600000000000005</v>
      </c>
      <c r="AE9" s="1">
        <v>45.46</v>
      </c>
      <c r="AF9" s="1">
        <v>0.48599999999999999</v>
      </c>
      <c r="AG9" s="1" t="s">
        <v>21</v>
      </c>
      <c r="AH9" s="1">
        <v>1.43</v>
      </c>
      <c r="AI9" s="1">
        <v>0.64</v>
      </c>
      <c r="AJ9" s="1">
        <v>5.71</v>
      </c>
      <c r="AK9" s="1">
        <v>12.35</v>
      </c>
    </row>
    <row r="10" spans="1:37" x14ac:dyDescent="0.35">
      <c r="A10" s="1" t="s">
        <v>119</v>
      </c>
      <c r="B10" s="1" t="s">
        <v>115</v>
      </c>
      <c r="C10" s="1" t="s">
        <v>40</v>
      </c>
      <c r="D10" s="4">
        <v>45527</v>
      </c>
      <c r="E10" s="1">
        <v>4.0770494949999998</v>
      </c>
      <c r="F10" s="1">
        <v>-74.930274470000001</v>
      </c>
      <c r="G10" s="1" t="s">
        <v>116</v>
      </c>
      <c r="H10" s="1" t="s">
        <v>117</v>
      </c>
      <c r="I10" s="1">
        <v>0.2510040161</v>
      </c>
      <c r="J10" s="1">
        <v>0.21159638550000001</v>
      </c>
      <c r="K10" s="1">
        <v>0.53739959839999996</v>
      </c>
      <c r="L10" s="1">
        <v>3.38</v>
      </c>
      <c r="M10" s="1">
        <v>7.68</v>
      </c>
      <c r="N10" s="1">
        <v>82.86</v>
      </c>
      <c r="O10" s="1">
        <v>10.43</v>
      </c>
      <c r="P10" s="1">
        <v>3.48</v>
      </c>
      <c r="Q10" s="1">
        <v>0.38</v>
      </c>
      <c r="R10" s="1">
        <v>0.47899999999999998</v>
      </c>
      <c r="S10" s="5">
        <v>15.73</v>
      </c>
      <c r="T10" s="1">
        <v>0.02</v>
      </c>
      <c r="U10" s="2">
        <v>10.147199999999998</v>
      </c>
      <c r="V10" s="2">
        <f t="shared" si="0"/>
        <v>125.1186</v>
      </c>
      <c r="W10" s="2">
        <f t="shared" si="1"/>
        <v>335.673</v>
      </c>
      <c r="X10" s="1">
        <v>7.3</v>
      </c>
      <c r="Y10" s="1" t="s">
        <v>21</v>
      </c>
      <c r="Z10" s="1">
        <v>0.75900000000000001</v>
      </c>
      <c r="AA10" s="1">
        <v>13.31</v>
      </c>
      <c r="AB10" s="1">
        <v>7.4999999999999997E-2</v>
      </c>
      <c r="AC10" s="1">
        <v>0.55600000000000005</v>
      </c>
      <c r="AD10" s="1">
        <v>0.67300000000000004</v>
      </c>
      <c r="AE10" s="1">
        <v>52.48</v>
      </c>
      <c r="AF10" s="1">
        <v>0.314</v>
      </c>
      <c r="AG10" s="1" t="s">
        <v>21</v>
      </c>
      <c r="AH10" s="1">
        <v>1.51</v>
      </c>
      <c r="AI10" s="1">
        <v>0.59</v>
      </c>
      <c r="AJ10" s="1">
        <v>13.77</v>
      </c>
      <c r="AK10" s="1">
        <v>6.24</v>
      </c>
    </row>
    <row r="11" spans="1:37" hidden="1" x14ac:dyDescent="0.35">
      <c r="A11" s="1" t="s">
        <v>114</v>
      </c>
      <c r="B11" s="1" t="s">
        <v>120</v>
      </c>
      <c r="C11" s="1" t="s">
        <v>15</v>
      </c>
      <c r="D11" s="4">
        <v>45520</v>
      </c>
      <c r="E11" s="1">
        <v>7.9198607579999996</v>
      </c>
      <c r="F11" s="1">
        <v>-76.644490090000005</v>
      </c>
      <c r="G11" s="1" t="s">
        <v>121</v>
      </c>
      <c r="H11" s="1" t="s">
        <v>122</v>
      </c>
      <c r="I11" s="1">
        <v>0.44455852159999998</v>
      </c>
      <c r="J11" s="1">
        <v>0.34650924020000001</v>
      </c>
      <c r="K11" s="1">
        <v>0.20893223819999998</v>
      </c>
      <c r="L11" s="1">
        <v>11.69</v>
      </c>
      <c r="M11" s="1">
        <v>26.55</v>
      </c>
      <c r="N11" s="1">
        <v>18.45</v>
      </c>
      <c r="O11" s="1">
        <v>9.86</v>
      </c>
      <c r="P11" s="1">
        <v>3.82</v>
      </c>
      <c r="Q11" s="1">
        <v>0.54</v>
      </c>
      <c r="R11" s="1" t="s">
        <v>21</v>
      </c>
      <c r="S11" s="1" t="s">
        <v>21</v>
      </c>
      <c r="T11" s="1">
        <v>7.6999999999999999E-2</v>
      </c>
      <c r="U11" s="2">
        <v>20.870079999999998</v>
      </c>
      <c r="V11" s="2">
        <f t="shared" si="0"/>
        <v>22.3245</v>
      </c>
      <c r="W11" s="2">
        <f t="shared" si="1"/>
        <v>382.23900000000003</v>
      </c>
      <c r="X11" s="1">
        <v>5.47</v>
      </c>
      <c r="Y11" s="1">
        <v>0.29399999999999998</v>
      </c>
      <c r="Z11" s="1">
        <v>2.3940000000000001</v>
      </c>
      <c r="AA11" s="1">
        <v>13.87</v>
      </c>
      <c r="AB11" s="1">
        <v>0.80400000000000005</v>
      </c>
      <c r="AC11" s="1">
        <v>1.3939999999999999</v>
      </c>
      <c r="AD11" s="1">
        <v>0.69899999999999995</v>
      </c>
      <c r="AE11" s="1">
        <v>40.229999999999997</v>
      </c>
      <c r="AF11" s="1">
        <v>1.137</v>
      </c>
      <c r="AG11" s="1">
        <v>14.519</v>
      </c>
      <c r="AH11" s="1">
        <v>1.21</v>
      </c>
      <c r="AI11" s="1">
        <v>1.1000000000000001</v>
      </c>
      <c r="AJ11" s="1">
        <v>5.76</v>
      </c>
      <c r="AK11" s="1">
        <v>29.7</v>
      </c>
    </row>
    <row r="12" spans="1:37" hidden="1" x14ac:dyDescent="0.35">
      <c r="A12" s="1" t="s">
        <v>118</v>
      </c>
      <c r="B12" s="1" t="s">
        <v>120</v>
      </c>
      <c r="C12" s="1" t="s">
        <v>15</v>
      </c>
      <c r="D12" s="4">
        <v>45520</v>
      </c>
      <c r="E12" s="1">
        <v>7.9198153900000001</v>
      </c>
      <c r="F12" s="1">
        <v>-76.645617669999993</v>
      </c>
      <c r="G12" s="1" t="s">
        <v>121</v>
      </c>
      <c r="H12" s="1" t="s">
        <v>123</v>
      </c>
      <c r="I12" s="1">
        <v>0.39225727160000001</v>
      </c>
      <c r="J12" s="1">
        <v>0.29444899629999999</v>
      </c>
      <c r="K12" s="1">
        <v>0.3132937321</v>
      </c>
      <c r="L12" s="1">
        <v>12.04</v>
      </c>
      <c r="M12" s="1">
        <v>27.33</v>
      </c>
      <c r="N12" s="1">
        <v>22.84</v>
      </c>
      <c r="O12" s="1">
        <v>9.0500000000000007</v>
      </c>
      <c r="P12" s="1">
        <v>4.47</v>
      </c>
      <c r="Q12" s="1">
        <v>1</v>
      </c>
      <c r="R12" s="1" t="s">
        <v>21</v>
      </c>
      <c r="S12" s="1" t="s">
        <v>21</v>
      </c>
      <c r="T12" s="1">
        <v>7.0000000000000007E-2</v>
      </c>
      <c r="U12" s="2">
        <v>18.972799999999999</v>
      </c>
      <c r="V12" s="2">
        <f t="shared" si="0"/>
        <v>27.636399999999998</v>
      </c>
      <c r="W12" s="2">
        <f t="shared" si="1"/>
        <v>707.84999999999991</v>
      </c>
      <c r="X12" s="1">
        <v>4.5599999999999996</v>
      </c>
      <c r="Y12" s="1">
        <v>1.2749999999999999</v>
      </c>
      <c r="Z12" s="1">
        <v>4.4770000000000003</v>
      </c>
      <c r="AA12" s="1">
        <v>14.49</v>
      </c>
      <c r="AB12" s="1">
        <v>1.1739999999999999</v>
      </c>
      <c r="AC12" s="1">
        <v>0.91500000000000004</v>
      </c>
      <c r="AD12" s="1">
        <v>0.68300000000000005</v>
      </c>
      <c r="AE12" s="1">
        <v>47.34</v>
      </c>
      <c r="AF12" s="1">
        <v>0.85499999999999998</v>
      </c>
      <c r="AG12" s="1">
        <v>15.792999999999999</v>
      </c>
      <c r="AH12" s="1">
        <v>1.21</v>
      </c>
      <c r="AI12" s="1">
        <v>1.03</v>
      </c>
      <c r="AJ12" s="1">
        <v>5.56</v>
      </c>
      <c r="AK12" s="1">
        <v>21.44</v>
      </c>
    </row>
    <row r="13" spans="1:37" hidden="1" x14ac:dyDescent="0.35">
      <c r="A13" s="1" t="s">
        <v>119</v>
      </c>
      <c r="B13" s="1" t="s">
        <v>120</v>
      </c>
      <c r="C13" s="1" t="s">
        <v>15</v>
      </c>
      <c r="D13" s="4">
        <v>45520</v>
      </c>
      <c r="E13" s="1">
        <v>7.9202660959999998</v>
      </c>
      <c r="F13" s="1">
        <v>-76.645132050000001</v>
      </c>
      <c r="G13" s="1" t="s">
        <v>121</v>
      </c>
      <c r="H13" s="1" t="s">
        <v>124</v>
      </c>
      <c r="I13" s="1">
        <v>0.40597413259999998</v>
      </c>
      <c r="J13" s="1">
        <v>0.1283104085</v>
      </c>
      <c r="K13" s="1">
        <v>0.46571545880000004</v>
      </c>
      <c r="L13" s="1">
        <v>12.11</v>
      </c>
      <c r="M13" s="1">
        <v>27.49</v>
      </c>
      <c r="N13" s="1">
        <v>21.59</v>
      </c>
      <c r="O13" s="1">
        <v>9.3000000000000007</v>
      </c>
      <c r="P13" s="1">
        <v>3.85</v>
      </c>
      <c r="Q13" s="1">
        <v>0.48</v>
      </c>
      <c r="R13" s="1" t="s">
        <v>21</v>
      </c>
      <c r="S13" s="1" t="s">
        <v>21</v>
      </c>
      <c r="T13" s="1">
        <v>7.0000000000000007E-2</v>
      </c>
      <c r="U13" s="2">
        <v>19.756799999999998</v>
      </c>
      <c r="V13" s="2">
        <f t="shared" si="0"/>
        <v>27.203399999999998</v>
      </c>
      <c r="W13" s="2">
        <f t="shared" si="1"/>
        <v>353.80799999999999</v>
      </c>
      <c r="X13" s="1">
        <v>5.22</v>
      </c>
      <c r="Y13" s="1">
        <v>0.68600000000000005</v>
      </c>
      <c r="Z13" s="1">
        <v>2.8340000000000001</v>
      </c>
      <c r="AA13" s="1">
        <v>12.24</v>
      </c>
      <c r="AB13" s="1">
        <v>1.1100000000000001</v>
      </c>
      <c r="AC13" s="1">
        <v>1.02</v>
      </c>
      <c r="AD13" s="1">
        <v>0.44700000000000001</v>
      </c>
      <c r="AE13" s="1">
        <v>93.26</v>
      </c>
      <c r="AF13" s="1">
        <v>0.95899999999999996</v>
      </c>
      <c r="AG13" s="1">
        <v>14.324999999999999</v>
      </c>
      <c r="AH13" s="1">
        <v>1.26</v>
      </c>
      <c r="AI13" s="1">
        <v>0.96</v>
      </c>
      <c r="AJ13" s="1">
        <v>5.71</v>
      </c>
      <c r="AK13" s="1">
        <v>55.75</v>
      </c>
    </row>
    <row r="14" spans="1:37" hidden="1" x14ac:dyDescent="0.35">
      <c r="A14" s="1" t="s">
        <v>114</v>
      </c>
      <c r="B14" s="1" t="s">
        <v>120</v>
      </c>
      <c r="C14" s="1" t="s">
        <v>15</v>
      </c>
      <c r="D14" s="4">
        <v>45520</v>
      </c>
      <c r="E14" s="1">
        <v>7.9198607579999996</v>
      </c>
      <c r="F14" s="1">
        <v>-76.644490090000005</v>
      </c>
      <c r="G14" s="1" t="s">
        <v>125</v>
      </c>
      <c r="H14" s="1" t="s">
        <v>122</v>
      </c>
      <c r="I14" s="1">
        <v>0.41889117040000001</v>
      </c>
      <c r="J14" s="1">
        <v>0.34650924020000001</v>
      </c>
      <c r="K14" s="1">
        <v>0.23459958929999999</v>
      </c>
      <c r="L14" s="1">
        <v>9.9</v>
      </c>
      <c r="M14" s="1">
        <v>22.47</v>
      </c>
      <c r="N14" s="1">
        <v>16.73</v>
      </c>
      <c r="O14" s="1">
        <v>8.16</v>
      </c>
      <c r="P14" s="1">
        <v>4.57</v>
      </c>
      <c r="Q14" s="1">
        <v>0.35</v>
      </c>
      <c r="R14" s="1" t="s">
        <v>21</v>
      </c>
      <c r="S14" s="1" t="s">
        <v>21</v>
      </c>
      <c r="T14" s="1">
        <v>6.5000000000000002E-2</v>
      </c>
      <c r="U14" s="2">
        <v>17.180800000000001</v>
      </c>
      <c r="V14" s="2">
        <f t="shared" si="0"/>
        <v>19.741399999999999</v>
      </c>
      <c r="W14" s="2">
        <f t="shared" si="1"/>
        <v>241.60499999999999</v>
      </c>
      <c r="X14" s="1">
        <v>5.47</v>
      </c>
      <c r="Y14" s="1">
        <v>0.98099999999999998</v>
      </c>
      <c r="Z14" s="1">
        <v>4.8570000000000002</v>
      </c>
      <c r="AA14" s="1">
        <v>10.79</v>
      </c>
      <c r="AB14" s="1">
        <v>1.1990000000000001</v>
      </c>
      <c r="AC14" s="1">
        <v>0.81200000000000006</v>
      </c>
      <c r="AD14" s="1">
        <v>0.72099999999999997</v>
      </c>
      <c r="AE14" s="1">
        <v>43.8</v>
      </c>
      <c r="AF14" s="1">
        <v>0.97799999999999998</v>
      </c>
      <c r="AG14" s="1">
        <v>14.058</v>
      </c>
      <c r="AH14" s="1">
        <v>1.18</v>
      </c>
      <c r="AI14" s="1" t="s">
        <v>21</v>
      </c>
      <c r="AJ14" s="1" t="s">
        <v>21</v>
      </c>
      <c r="AK14" s="1" t="s">
        <v>21</v>
      </c>
    </row>
    <row r="15" spans="1:37" hidden="1" x14ac:dyDescent="0.35">
      <c r="A15" s="1" t="s">
        <v>118</v>
      </c>
      <c r="B15" s="1" t="s">
        <v>120</v>
      </c>
      <c r="C15" s="1" t="s">
        <v>15</v>
      </c>
      <c r="D15" s="4">
        <v>45520</v>
      </c>
      <c r="E15" s="1">
        <v>7.9198153900000001</v>
      </c>
      <c r="F15" s="1">
        <v>-76.645617669999993</v>
      </c>
      <c r="G15" s="1" t="s">
        <v>125</v>
      </c>
      <c r="H15" s="1" t="s">
        <v>126</v>
      </c>
      <c r="I15" s="1">
        <v>0.50953362540000002</v>
      </c>
      <c r="J15" s="1">
        <v>0.28987374389999998</v>
      </c>
      <c r="K15" s="1">
        <v>0.2005926308</v>
      </c>
      <c r="L15" s="1">
        <v>11.18</v>
      </c>
      <c r="M15" s="1">
        <v>25.38</v>
      </c>
      <c r="N15" s="1">
        <v>12.87</v>
      </c>
      <c r="O15" s="1">
        <v>17.239999999999998</v>
      </c>
      <c r="P15" s="1">
        <v>5.34</v>
      </c>
      <c r="Q15" s="1">
        <v>0.36</v>
      </c>
      <c r="R15" s="1" t="s">
        <v>21</v>
      </c>
      <c r="S15" s="1" t="s">
        <v>21</v>
      </c>
      <c r="T15" s="1">
        <v>6.7000000000000004E-2</v>
      </c>
      <c r="U15" s="2">
        <v>20.711039999999997</v>
      </c>
      <c r="V15" s="2">
        <f t="shared" si="0"/>
        <v>17.7606</v>
      </c>
      <c r="W15" s="2">
        <f t="shared" si="1"/>
        <v>290.62800000000004</v>
      </c>
      <c r="X15" s="1">
        <v>5.85</v>
      </c>
      <c r="Y15" s="6"/>
      <c r="Z15" s="1">
        <v>2.7730000000000001</v>
      </c>
      <c r="AA15" s="1">
        <v>11.26</v>
      </c>
      <c r="AB15" s="1">
        <v>0.87</v>
      </c>
      <c r="AC15" s="1">
        <v>0.92600000000000005</v>
      </c>
      <c r="AD15" s="1">
        <v>0.80400000000000005</v>
      </c>
      <c r="AE15" s="1">
        <v>39.799999999999997</v>
      </c>
      <c r="AF15" s="1">
        <v>0.95</v>
      </c>
      <c r="AG15" s="6"/>
      <c r="AH15" s="1">
        <v>1.38</v>
      </c>
      <c r="AI15" s="1" t="s">
        <v>21</v>
      </c>
      <c r="AJ15" s="1" t="s">
        <v>21</v>
      </c>
      <c r="AK15" s="1" t="s">
        <v>21</v>
      </c>
    </row>
    <row r="16" spans="1:37" hidden="1" x14ac:dyDescent="0.35">
      <c r="A16" s="1" t="s">
        <v>119</v>
      </c>
      <c r="B16" s="1" t="s">
        <v>120</v>
      </c>
      <c r="C16" s="1" t="s">
        <v>15</v>
      </c>
      <c r="D16" s="4">
        <v>45520</v>
      </c>
      <c r="E16" s="1">
        <v>7.9202660959999998</v>
      </c>
      <c r="F16" s="1">
        <v>-76.645132050000001</v>
      </c>
      <c r="G16" s="1" t="s">
        <v>125</v>
      </c>
      <c r="H16" s="1" t="s">
        <v>123</v>
      </c>
      <c r="I16" s="1">
        <v>0.37798408490000002</v>
      </c>
      <c r="J16" s="1">
        <v>0.2422974903</v>
      </c>
      <c r="K16" s="1">
        <v>0.37971842480000001</v>
      </c>
      <c r="L16" s="1">
        <v>10.58</v>
      </c>
      <c r="M16" s="1">
        <v>24.02</v>
      </c>
      <c r="N16" s="1">
        <v>17.899999999999999</v>
      </c>
      <c r="O16" s="1">
        <v>8.7899999999999991</v>
      </c>
      <c r="P16" s="1">
        <v>4.22</v>
      </c>
      <c r="Q16" s="1">
        <v>0.54</v>
      </c>
      <c r="R16" s="1" t="s">
        <v>21</v>
      </c>
      <c r="S16" s="1" t="s">
        <v>21</v>
      </c>
      <c r="T16" s="1">
        <v>6.9000000000000006E-2</v>
      </c>
      <c r="U16" s="2">
        <v>19.16544</v>
      </c>
      <c r="V16" s="2">
        <f t="shared" si="0"/>
        <v>22.196000000000002</v>
      </c>
      <c r="W16" s="2">
        <f t="shared" si="1"/>
        <v>391.71600000000001</v>
      </c>
      <c r="X16" s="1">
        <v>4.95</v>
      </c>
      <c r="Y16" s="1">
        <v>1.177</v>
      </c>
      <c r="Z16" s="1">
        <v>5.1950000000000003</v>
      </c>
      <c r="AA16" s="1">
        <v>10.7</v>
      </c>
      <c r="AB16" s="1">
        <v>1.246</v>
      </c>
      <c r="AC16" s="1">
        <v>0.66100000000000003</v>
      </c>
      <c r="AD16" s="1">
        <v>0.47299999999999998</v>
      </c>
      <c r="AE16" s="1">
        <v>36.36</v>
      </c>
      <c r="AF16" s="1">
        <v>0.99299999999999999</v>
      </c>
      <c r="AG16" s="1">
        <v>14.721</v>
      </c>
      <c r="AH16" s="1">
        <v>1.24</v>
      </c>
      <c r="AI16" s="1" t="s">
        <v>21</v>
      </c>
      <c r="AJ16" s="1" t="s">
        <v>21</v>
      </c>
      <c r="AK16" s="1" t="s">
        <v>21</v>
      </c>
    </row>
    <row r="17" spans="1:37" hidden="1" x14ac:dyDescent="0.35">
      <c r="A17" s="1" t="s">
        <v>114</v>
      </c>
      <c r="B17" s="1" t="s">
        <v>120</v>
      </c>
      <c r="C17" s="1" t="s">
        <v>38</v>
      </c>
      <c r="D17" s="4">
        <v>45520</v>
      </c>
      <c r="E17" s="1">
        <v>7.9320264749999998</v>
      </c>
      <c r="F17" s="1">
        <v>-76.699644370000001</v>
      </c>
      <c r="G17" s="1" t="s">
        <v>121</v>
      </c>
      <c r="H17" s="1" t="s">
        <v>124</v>
      </c>
      <c r="I17" s="1">
        <v>0.36788700800000002</v>
      </c>
      <c r="J17" s="1">
        <v>5.5578217419999999E-2</v>
      </c>
      <c r="K17" s="1">
        <v>0.57653477460000002</v>
      </c>
      <c r="L17" s="1">
        <v>12.64</v>
      </c>
      <c r="M17" s="1">
        <v>28.7</v>
      </c>
      <c r="N17" s="1">
        <v>46.94</v>
      </c>
      <c r="O17" s="1">
        <v>7.21</v>
      </c>
      <c r="P17" s="1">
        <v>2.57</v>
      </c>
      <c r="Q17" s="1">
        <v>0.96</v>
      </c>
      <c r="R17" s="1" t="s">
        <v>21</v>
      </c>
      <c r="S17" s="1" t="s">
        <v>21</v>
      </c>
      <c r="T17" s="1">
        <v>8.4000000000000005E-2</v>
      </c>
      <c r="U17" s="2">
        <v>25.966080000000002</v>
      </c>
      <c r="V17" s="2">
        <f t="shared" si="0"/>
        <v>64.777199999999993</v>
      </c>
      <c r="W17" s="2">
        <f t="shared" si="1"/>
        <v>775.00799999999981</v>
      </c>
      <c r="X17" s="1">
        <v>4.9400000000000004</v>
      </c>
      <c r="Y17" s="1">
        <v>2.3540000000000001</v>
      </c>
      <c r="Z17" s="1">
        <v>9.1560000000000006</v>
      </c>
      <c r="AA17" s="1">
        <v>12.91</v>
      </c>
      <c r="AB17" s="1">
        <v>1.0629999999999999</v>
      </c>
      <c r="AC17" s="1">
        <v>2.2930000000000001</v>
      </c>
      <c r="AD17" s="1">
        <v>0.78100000000000003</v>
      </c>
      <c r="AE17" s="1">
        <v>75.38</v>
      </c>
      <c r="AF17" s="1">
        <v>1.1020000000000001</v>
      </c>
      <c r="AG17" s="1">
        <v>13.101000000000001</v>
      </c>
      <c r="AH17" s="1">
        <v>1.38</v>
      </c>
      <c r="AI17" s="1">
        <v>1.23</v>
      </c>
      <c r="AJ17" s="1">
        <v>5.37</v>
      </c>
      <c r="AK17" s="1">
        <v>29.11</v>
      </c>
    </row>
    <row r="18" spans="1:37" hidden="1" x14ac:dyDescent="0.35">
      <c r="A18" s="1" t="s">
        <v>118</v>
      </c>
      <c r="B18" s="1" t="s">
        <v>120</v>
      </c>
      <c r="C18" s="1" t="s">
        <v>38</v>
      </c>
      <c r="D18" s="4">
        <v>45520</v>
      </c>
      <c r="E18" s="1">
        <v>7.9328117579999997</v>
      </c>
      <c r="F18" s="1">
        <v>-76.699717550000003</v>
      </c>
      <c r="G18" s="1" t="s">
        <v>121</v>
      </c>
      <c r="H18" s="1" t="s">
        <v>127</v>
      </c>
      <c r="I18" s="1">
        <v>0.36508260250000002</v>
      </c>
      <c r="J18" s="1">
        <v>0.26769324900000002</v>
      </c>
      <c r="K18" s="1">
        <v>0.36722414850000001</v>
      </c>
      <c r="L18" s="1">
        <v>11.22</v>
      </c>
      <c r="M18" s="1">
        <v>25.47</v>
      </c>
      <c r="N18" s="1">
        <v>69.45</v>
      </c>
      <c r="O18" s="1">
        <v>8.36</v>
      </c>
      <c r="P18" s="1">
        <v>2.41</v>
      </c>
      <c r="Q18" s="1">
        <v>1.19</v>
      </c>
      <c r="R18" s="1" t="s">
        <v>21</v>
      </c>
      <c r="S18" s="1" t="s">
        <v>21</v>
      </c>
      <c r="T18" s="1">
        <v>7.5999999999999998E-2</v>
      </c>
      <c r="U18" s="2">
        <v>24.00384</v>
      </c>
      <c r="V18" s="2">
        <f t="shared" si="0"/>
        <v>97.924499999999995</v>
      </c>
      <c r="W18" s="2">
        <f t="shared" si="1"/>
        <v>981.57150000000001</v>
      </c>
      <c r="X18" s="1">
        <v>5.35</v>
      </c>
      <c r="Y18" s="1">
        <v>0.19600000000000001</v>
      </c>
      <c r="Z18" s="1">
        <v>5.2549999999999999</v>
      </c>
      <c r="AA18" s="1">
        <v>15.35</v>
      </c>
      <c r="AB18" s="1">
        <v>0.61899999999999999</v>
      </c>
      <c r="AC18" s="1">
        <v>4.056</v>
      </c>
      <c r="AD18" s="1">
        <v>0.64700000000000002</v>
      </c>
      <c r="AE18" s="1">
        <v>35</v>
      </c>
      <c r="AF18" s="1">
        <v>1.004</v>
      </c>
      <c r="AG18" s="1">
        <v>12.164</v>
      </c>
      <c r="AH18" s="1">
        <v>1.41</v>
      </c>
      <c r="AI18" s="1">
        <v>1.01</v>
      </c>
      <c r="AJ18" s="1">
        <v>8.6300000000000008</v>
      </c>
      <c r="AK18" s="1">
        <v>99.16</v>
      </c>
    </row>
    <row r="19" spans="1:37" hidden="1" x14ac:dyDescent="0.35">
      <c r="A19" s="1" t="s">
        <v>119</v>
      </c>
      <c r="B19" s="1" t="s">
        <v>120</v>
      </c>
      <c r="C19" s="1" t="s">
        <v>38</v>
      </c>
      <c r="D19" s="4">
        <v>45520</v>
      </c>
      <c r="E19" s="1">
        <v>7.9323955149999996</v>
      </c>
      <c r="F19" s="1">
        <v>-76.699336880000004</v>
      </c>
      <c r="G19" s="1" t="s">
        <v>121</v>
      </c>
      <c r="H19" s="1" t="s">
        <v>128</v>
      </c>
      <c r="I19" s="1">
        <v>0.29021937840000001</v>
      </c>
      <c r="J19" s="1">
        <v>0.1442210035</v>
      </c>
      <c r="K19" s="1">
        <v>0.56555961809999999</v>
      </c>
      <c r="L19" s="1">
        <v>10.210000000000001</v>
      </c>
      <c r="M19" s="1">
        <v>23.18</v>
      </c>
      <c r="N19" s="1">
        <v>27.83</v>
      </c>
      <c r="O19" s="1">
        <v>7.64</v>
      </c>
      <c r="P19" s="1">
        <v>2.64</v>
      </c>
      <c r="Q19" s="1">
        <v>0.92</v>
      </c>
      <c r="R19" s="1" t="s">
        <v>21</v>
      </c>
      <c r="S19" s="1" t="s">
        <v>21</v>
      </c>
      <c r="T19" s="1">
        <v>7.0999999999999994E-2</v>
      </c>
      <c r="U19" s="2">
        <v>20.834239999999998</v>
      </c>
      <c r="V19" s="2">
        <f t="shared" si="0"/>
        <v>36.457299999999996</v>
      </c>
      <c r="W19" s="2">
        <f t="shared" si="1"/>
        <v>705.04200000000003</v>
      </c>
      <c r="X19" s="1">
        <v>5.03</v>
      </c>
      <c r="Y19" s="1">
        <v>1.4710000000000001</v>
      </c>
      <c r="Z19" s="1">
        <v>7.8929999999999998</v>
      </c>
      <c r="AA19" s="1">
        <v>11.79</v>
      </c>
      <c r="AB19" s="1">
        <v>0.97199999999999998</v>
      </c>
      <c r="AC19" s="1">
        <v>2.665</v>
      </c>
      <c r="AD19" s="1">
        <v>0.51700000000000002</v>
      </c>
      <c r="AE19" s="1">
        <v>36.520000000000003</v>
      </c>
      <c r="AF19" s="1">
        <v>0.92100000000000004</v>
      </c>
      <c r="AG19" s="1">
        <v>12.673999999999999</v>
      </c>
      <c r="AH19" s="1">
        <v>1.31</v>
      </c>
      <c r="AI19" s="1">
        <v>1.02</v>
      </c>
      <c r="AJ19" s="1">
        <v>6.55</v>
      </c>
      <c r="AK19" s="1">
        <v>22.96</v>
      </c>
    </row>
    <row r="20" spans="1:37" hidden="1" x14ac:dyDescent="0.35">
      <c r="A20" s="1" t="s">
        <v>114</v>
      </c>
      <c r="B20" s="1" t="s">
        <v>120</v>
      </c>
      <c r="C20" s="1" t="s">
        <v>38</v>
      </c>
      <c r="D20" s="4">
        <v>45520</v>
      </c>
      <c r="E20" s="1">
        <v>7.9320264749999998</v>
      </c>
      <c r="F20" s="1">
        <v>-76.699644370000001</v>
      </c>
      <c r="G20" s="1" t="s">
        <v>125</v>
      </c>
      <c r="H20" s="1" t="s">
        <v>123</v>
      </c>
      <c r="I20" s="1">
        <v>0.39057719759999998</v>
      </c>
      <c r="J20" s="1">
        <v>0.38241892719999998</v>
      </c>
      <c r="K20" s="1">
        <v>0.22700387519999998</v>
      </c>
      <c r="L20" s="1">
        <v>6.67</v>
      </c>
      <c r="M20" s="1">
        <v>15.14</v>
      </c>
      <c r="N20" s="1">
        <v>38.85</v>
      </c>
      <c r="O20" s="1">
        <v>7.52</v>
      </c>
      <c r="P20" s="1">
        <v>2.93</v>
      </c>
      <c r="Q20" s="1">
        <v>0.66</v>
      </c>
      <c r="R20" s="1" t="s">
        <v>21</v>
      </c>
      <c r="S20" s="1" t="s">
        <v>21</v>
      </c>
      <c r="T20" s="1">
        <v>5.2999999999999999E-2</v>
      </c>
      <c r="U20" s="2">
        <v>13.296639999999998</v>
      </c>
      <c r="V20" s="2">
        <f t="shared" si="0"/>
        <v>43.512</v>
      </c>
      <c r="W20" s="2">
        <f t="shared" si="1"/>
        <v>432.43200000000013</v>
      </c>
      <c r="X20" s="1">
        <v>5.21</v>
      </c>
      <c r="Y20" s="1">
        <v>1.373</v>
      </c>
      <c r="Z20" s="1">
        <v>7.2969999999999997</v>
      </c>
      <c r="AA20" s="1">
        <v>9.32</v>
      </c>
      <c r="AB20" s="1">
        <v>1.0669999999999999</v>
      </c>
      <c r="AC20" s="1">
        <v>1.5509999999999999</v>
      </c>
      <c r="AD20" s="1">
        <v>0.32500000000000001</v>
      </c>
      <c r="AE20" s="1">
        <v>34.26</v>
      </c>
      <c r="AF20" s="1">
        <v>0.64900000000000002</v>
      </c>
      <c r="AG20" s="1">
        <v>12.48</v>
      </c>
      <c r="AH20" s="1">
        <v>1.1200000000000001</v>
      </c>
      <c r="AI20" s="1" t="s">
        <v>21</v>
      </c>
      <c r="AJ20" s="1" t="s">
        <v>21</v>
      </c>
      <c r="AK20" s="1" t="s">
        <v>21</v>
      </c>
    </row>
    <row r="21" spans="1:37" hidden="1" x14ac:dyDescent="0.35">
      <c r="A21" s="1" t="s">
        <v>118</v>
      </c>
      <c r="B21" s="1" t="s">
        <v>120</v>
      </c>
      <c r="C21" s="1" t="s">
        <v>38</v>
      </c>
      <c r="D21" s="4">
        <v>45520</v>
      </c>
      <c r="E21" s="1">
        <v>7.9328117579999997</v>
      </c>
      <c r="F21" s="1">
        <v>-76.699717550000003</v>
      </c>
      <c r="G21" s="1" t="s">
        <v>125</v>
      </c>
      <c r="H21" s="1" t="s">
        <v>124</v>
      </c>
      <c r="I21" s="1">
        <v>0.3526229843</v>
      </c>
      <c r="J21" s="1">
        <v>0.1530924679</v>
      </c>
      <c r="K21" s="1">
        <v>0.49428454790000004</v>
      </c>
      <c r="L21" s="1">
        <v>10.01</v>
      </c>
      <c r="M21" s="1">
        <v>22.73</v>
      </c>
      <c r="N21" s="1">
        <v>14.4</v>
      </c>
      <c r="O21" s="1">
        <v>8.08</v>
      </c>
      <c r="P21" s="1">
        <v>2.82</v>
      </c>
      <c r="Q21" s="1">
        <v>0.48</v>
      </c>
      <c r="R21" s="1" t="s">
        <v>21</v>
      </c>
      <c r="S21" s="1" t="s">
        <v>21</v>
      </c>
      <c r="T21" s="1">
        <v>6.4000000000000001E-2</v>
      </c>
      <c r="U21" s="2">
        <v>19.3536</v>
      </c>
      <c r="V21" s="2">
        <f t="shared" si="0"/>
        <v>19.440000000000001</v>
      </c>
      <c r="W21" s="2">
        <f t="shared" si="1"/>
        <v>379.07999999999993</v>
      </c>
      <c r="X21" s="1">
        <v>5.2</v>
      </c>
      <c r="Y21" s="1">
        <v>1.079</v>
      </c>
      <c r="Z21" s="1">
        <v>4.5259999999999998</v>
      </c>
      <c r="AA21" s="1">
        <v>10.57</v>
      </c>
      <c r="AB21" s="1">
        <v>1.2689999999999999</v>
      </c>
      <c r="AC21" s="1">
        <v>0.59899999999999998</v>
      </c>
      <c r="AD21" s="1">
        <v>0.55300000000000005</v>
      </c>
      <c r="AE21" s="1">
        <v>35.17</v>
      </c>
      <c r="AF21" s="1">
        <v>0.77800000000000002</v>
      </c>
      <c r="AG21" s="1">
        <v>12.459</v>
      </c>
      <c r="AH21" s="1">
        <v>1.35</v>
      </c>
      <c r="AI21" s="1" t="s">
        <v>21</v>
      </c>
      <c r="AJ21" s="1" t="s">
        <v>21</v>
      </c>
      <c r="AK21" s="1" t="s">
        <v>21</v>
      </c>
    </row>
    <row r="22" spans="1:37" hidden="1" x14ac:dyDescent="0.35">
      <c r="A22" s="1" t="s">
        <v>119</v>
      </c>
      <c r="B22" s="1" t="s">
        <v>120</v>
      </c>
      <c r="C22" s="1" t="s">
        <v>38</v>
      </c>
      <c r="D22" s="4">
        <v>45520</v>
      </c>
      <c r="E22" s="1">
        <v>7.9323955149999996</v>
      </c>
      <c r="F22" s="1">
        <v>-76.699336880000004</v>
      </c>
      <c r="G22" s="1" t="s">
        <v>125</v>
      </c>
      <c r="H22" s="1" t="s">
        <v>128</v>
      </c>
      <c r="I22" s="1">
        <v>0.30297643229999999</v>
      </c>
      <c r="J22" s="1">
        <v>0.18234457539999999</v>
      </c>
      <c r="K22" s="1">
        <v>0.51467899230000003</v>
      </c>
      <c r="L22" s="1">
        <v>8.73</v>
      </c>
      <c r="M22" s="1">
        <v>19.809999999999999</v>
      </c>
      <c r="N22" s="1">
        <v>40.07</v>
      </c>
      <c r="O22" s="1">
        <v>6.42</v>
      </c>
      <c r="P22" s="1">
        <v>1.96</v>
      </c>
      <c r="Q22" s="1">
        <v>0.88</v>
      </c>
      <c r="R22" s="1" t="s">
        <v>21</v>
      </c>
      <c r="S22" s="1" t="s">
        <v>21</v>
      </c>
      <c r="T22" s="1">
        <v>5.3999999999999999E-2</v>
      </c>
      <c r="U22" s="2">
        <v>14.27328</v>
      </c>
      <c r="V22" s="2">
        <f t="shared" si="0"/>
        <v>47.282600000000002</v>
      </c>
      <c r="W22" s="2">
        <f t="shared" si="1"/>
        <v>607.46399999999994</v>
      </c>
      <c r="X22" s="1">
        <v>5.25</v>
      </c>
      <c r="Y22" s="1">
        <v>0.68600000000000005</v>
      </c>
      <c r="Z22" s="1">
        <v>6.6639999999999997</v>
      </c>
      <c r="AA22" s="1">
        <v>8.5389999999999997</v>
      </c>
      <c r="AB22" s="1">
        <v>0.86899999999999999</v>
      </c>
      <c r="AC22" s="1">
        <v>1.2809999999999999</v>
      </c>
      <c r="AD22" s="1">
        <v>0.41799999999999998</v>
      </c>
      <c r="AE22" s="1">
        <v>32.56</v>
      </c>
      <c r="AF22" s="1">
        <v>0.621</v>
      </c>
      <c r="AG22" s="1">
        <v>9.9529999999999994</v>
      </c>
      <c r="AH22" s="1">
        <v>1.18</v>
      </c>
      <c r="AI22" s="1" t="s">
        <v>21</v>
      </c>
      <c r="AJ22" s="1" t="s">
        <v>21</v>
      </c>
      <c r="AK22" s="1" t="s">
        <v>21</v>
      </c>
    </row>
    <row r="23" spans="1:37" hidden="1" x14ac:dyDescent="0.35">
      <c r="A23" s="1" t="s">
        <v>114</v>
      </c>
      <c r="B23" s="1" t="s">
        <v>120</v>
      </c>
      <c r="C23" s="1" t="s">
        <v>40</v>
      </c>
      <c r="D23" s="4">
        <v>45520</v>
      </c>
      <c r="E23" s="1">
        <v>7.9823906080000002</v>
      </c>
      <c r="F23" s="1">
        <v>-76.656790909999998</v>
      </c>
      <c r="G23" s="1" t="s">
        <v>121</v>
      </c>
      <c r="H23" s="1" t="s">
        <v>124</v>
      </c>
      <c r="I23" s="1">
        <v>0.37916497360000001</v>
      </c>
      <c r="J23" s="1">
        <v>8.8886631450000003E-2</v>
      </c>
      <c r="K23" s="1">
        <v>0.53194839500000002</v>
      </c>
      <c r="L23" s="1">
        <v>14.72</v>
      </c>
      <c r="M23" s="1">
        <v>33.409999999999997</v>
      </c>
      <c r="N23" s="1">
        <v>50.19</v>
      </c>
      <c r="O23" s="1">
        <v>7</v>
      </c>
      <c r="P23" s="1">
        <v>3.36</v>
      </c>
      <c r="Q23" s="1">
        <v>0.97</v>
      </c>
      <c r="R23" s="1" t="s">
        <v>21</v>
      </c>
      <c r="S23" s="1" t="s">
        <v>21</v>
      </c>
      <c r="T23" s="1">
        <v>0.111</v>
      </c>
      <c r="U23" s="2">
        <v>35.555519999999994</v>
      </c>
      <c r="V23" s="2">
        <f t="shared" si="0"/>
        <v>71.771699999999996</v>
      </c>
      <c r="W23" s="2">
        <f t="shared" si="1"/>
        <v>811.45350000000008</v>
      </c>
      <c r="X23" s="1">
        <v>5.12</v>
      </c>
      <c r="Y23" s="1">
        <v>0.39200000000000002</v>
      </c>
      <c r="Z23" s="1">
        <v>5.3559999999999999</v>
      </c>
      <c r="AA23" s="1">
        <v>22.2</v>
      </c>
      <c r="AB23" s="1">
        <v>0.55000000000000004</v>
      </c>
      <c r="AC23" s="1">
        <v>3.5990000000000002</v>
      </c>
      <c r="AD23" s="1">
        <v>0.93400000000000005</v>
      </c>
      <c r="AE23" s="1">
        <v>54.81</v>
      </c>
      <c r="AF23" s="1">
        <v>1.478</v>
      </c>
      <c r="AG23" s="1">
        <v>11.728</v>
      </c>
      <c r="AH23" s="1">
        <v>1.43</v>
      </c>
      <c r="AI23" s="1">
        <v>1.39</v>
      </c>
      <c r="AJ23" s="1">
        <v>6.65</v>
      </c>
      <c r="AK23" s="1">
        <v>115.62</v>
      </c>
    </row>
    <row r="24" spans="1:37" hidden="1" x14ac:dyDescent="0.35">
      <c r="A24" s="1" t="s">
        <v>118</v>
      </c>
      <c r="B24" s="1" t="s">
        <v>120</v>
      </c>
      <c r="C24" s="1" t="s">
        <v>40</v>
      </c>
      <c r="D24" s="4">
        <v>45520</v>
      </c>
      <c r="E24" s="1">
        <v>7.9824325700000003</v>
      </c>
      <c r="F24" s="1">
        <v>-76.657693710000004</v>
      </c>
      <c r="G24" s="1" t="s">
        <v>121</v>
      </c>
      <c r="H24" s="1" t="s">
        <v>124</v>
      </c>
      <c r="I24" s="1">
        <v>0.36713820479999998</v>
      </c>
      <c r="J24" s="1">
        <v>6.3606757580000006E-2</v>
      </c>
      <c r="K24" s="1">
        <v>0.56925503769999997</v>
      </c>
      <c r="L24" s="1">
        <v>15.42</v>
      </c>
      <c r="M24" s="1">
        <v>35.01</v>
      </c>
      <c r="N24" s="1">
        <v>45.15</v>
      </c>
      <c r="O24" s="1">
        <v>6.09</v>
      </c>
      <c r="P24" s="1">
        <v>2.2999999999999998</v>
      </c>
      <c r="Q24" s="1">
        <v>0.96</v>
      </c>
      <c r="R24" s="1" t="s">
        <v>21</v>
      </c>
      <c r="S24" s="1" t="s">
        <v>21</v>
      </c>
      <c r="T24" s="1">
        <v>0.114</v>
      </c>
      <c r="U24" s="2">
        <v>34.473599999999998</v>
      </c>
      <c r="V24" s="2">
        <f t="shared" si="0"/>
        <v>60.952500000000001</v>
      </c>
      <c r="W24" s="2">
        <f t="shared" si="1"/>
        <v>758.15999999999985</v>
      </c>
      <c r="X24" s="1">
        <v>4.54</v>
      </c>
      <c r="Y24" s="1">
        <v>0.98099999999999998</v>
      </c>
      <c r="Z24" s="1">
        <v>8.9659999999999993</v>
      </c>
      <c r="AA24" s="1">
        <v>20.59</v>
      </c>
      <c r="AB24" s="1">
        <v>0.68500000000000005</v>
      </c>
      <c r="AC24" s="1">
        <v>3.528</v>
      </c>
      <c r="AD24" s="1">
        <v>1.0940000000000001</v>
      </c>
      <c r="AE24" s="1">
        <v>59.85</v>
      </c>
      <c r="AF24" s="1">
        <v>1.4</v>
      </c>
      <c r="AG24" s="1">
        <v>10.32</v>
      </c>
      <c r="AH24" s="1">
        <v>1.35</v>
      </c>
      <c r="AI24" s="1">
        <v>1.44</v>
      </c>
      <c r="AJ24" s="1">
        <v>7.43</v>
      </c>
      <c r="AK24" s="1">
        <v>58.84</v>
      </c>
    </row>
    <row r="25" spans="1:37" hidden="1" x14ac:dyDescent="0.35">
      <c r="A25" s="1" t="s">
        <v>119</v>
      </c>
      <c r="B25" s="1" t="s">
        <v>120</v>
      </c>
      <c r="C25" s="1" t="s">
        <v>40</v>
      </c>
      <c r="D25" s="4">
        <v>45520</v>
      </c>
      <c r="E25" s="1">
        <v>7.9828304079999999</v>
      </c>
      <c r="F25" s="1">
        <v>-76.657227820000003</v>
      </c>
      <c r="G25" s="1" t="s">
        <v>121</v>
      </c>
      <c r="H25" s="1" t="s">
        <v>124</v>
      </c>
      <c r="I25" s="1">
        <v>0.43048209929999998</v>
      </c>
      <c r="J25" s="1">
        <v>7.6281529700000003E-2</v>
      </c>
      <c r="K25" s="1">
        <v>0.49323637100000001</v>
      </c>
      <c r="L25" s="1">
        <v>12.6</v>
      </c>
      <c r="M25" s="1">
        <v>28.6</v>
      </c>
      <c r="N25" s="1">
        <v>33.82</v>
      </c>
      <c r="O25" s="1">
        <v>5.42</v>
      </c>
      <c r="P25" s="1">
        <v>2.2200000000000002</v>
      </c>
      <c r="Q25" s="1">
        <v>1.03</v>
      </c>
      <c r="R25" s="1" t="s">
        <v>21</v>
      </c>
      <c r="S25" s="1" t="s">
        <v>21</v>
      </c>
      <c r="T25" s="1">
        <v>9.2999999999999999E-2</v>
      </c>
      <c r="U25" s="2">
        <v>29.373119999999997</v>
      </c>
      <c r="V25" s="2">
        <f t="shared" si="0"/>
        <v>47.686199999999999</v>
      </c>
      <c r="W25" s="2">
        <f t="shared" si="1"/>
        <v>849.59550000000013</v>
      </c>
      <c r="X25" s="1">
        <v>4.68</v>
      </c>
      <c r="Y25" s="1">
        <v>0.98099999999999998</v>
      </c>
      <c r="Z25" s="1">
        <v>13.11</v>
      </c>
      <c r="AA25" s="1">
        <v>16.48</v>
      </c>
      <c r="AB25" s="1">
        <v>0.87</v>
      </c>
      <c r="AC25" s="1">
        <v>2.1560000000000001</v>
      </c>
      <c r="AD25" s="1">
        <v>0.93899999999999995</v>
      </c>
      <c r="AE25" s="1">
        <v>46.78</v>
      </c>
      <c r="AF25" s="1">
        <v>1.129</v>
      </c>
      <c r="AG25" s="1">
        <v>9.64</v>
      </c>
      <c r="AH25" s="1">
        <v>1.41</v>
      </c>
      <c r="AI25" s="1">
        <v>1.84</v>
      </c>
      <c r="AJ25" s="1">
        <v>6.02</v>
      </c>
      <c r="AK25" s="1">
        <v>73.239999999999995</v>
      </c>
    </row>
    <row r="26" spans="1:37" hidden="1" x14ac:dyDescent="0.35">
      <c r="A26" s="1" t="s">
        <v>114</v>
      </c>
      <c r="B26" s="1" t="s">
        <v>120</v>
      </c>
      <c r="C26" s="1" t="s">
        <v>40</v>
      </c>
      <c r="D26" s="4">
        <v>45520</v>
      </c>
      <c r="E26" s="1">
        <v>7.9823906080000002</v>
      </c>
      <c r="F26" s="1">
        <v>-76.656790909999998</v>
      </c>
      <c r="G26" s="1" t="s">
        <v>125</v>
      </c>
      <c r="H26" s="1" t="s">
        <v>126</v>
      </c>
      <c r="I26" s="1">
        <v>0.43030703539999998</v>
      </c>
      <c r="J26" s="1">
        <v>0.19520130129999999</v>
      </c>
      <c r="K26" s="1">
        <v>0.37449166329999994</v>
      </c>
      <c r="L26" s="1">
        <v>12.33</v>
      </c>
      <c r="M26" s="1">
        <v>28</v>
      </c>
      <c r="N26" s="1">
        <v>23.67</v>
      </c>
      <c r="O26" s="1">
        <v>5.98</v>
      </c>
      <c r="P26" s="1">
        <v>2.41</v>
      </c>
      <c r="Q26" s="1">
        <v>0.69</v>
      </c>
      <c r="R26" s="1" t="s">
        <v>21</v>
      </c>
      <c r="S26" s="1" t="s">
        <v>21</v>
      </c>
      <c r="T26" s="1">
        <v>8.6999999999999994E-2</v>
      </c>
      <c r="U26" s="2">
        <v>26.698559999999997</v>
      </c>
      <c r="V26" s="2">
        <f t="shared" si="0"/>
        <v>32.427900000000001</v>
      </c>
      <c r="W26" s="2">
        <f t="shared" si="1"/>
        <v>553.00049999999987</v>
      </c>
      <c r="X26" s="1">
        <v>4.8</v>
      </c>
      <c r="Y26" s="1">
        <v>0.98099999999999998</v>
      </c>
      <c r="Z26" s="1">
        <v>12.89</v>
      </c>
      <c r="AA26" s="1">
        <v>12.08</v>
      </c>
      <c r="AB26" s="1">
        <v>1.1120000000000001</v>
      </c>
      <c r="AC26" s="1">
        <v>2.36</v>
      </c>
      <c r="AD26" s="1">
        <v>0.52900000000000003</v>
      </c>
      <c r="AE26" s="1">
        <v>74.260000000000005</v>
      </c>
      <c r="AF26" s="1">
        <v>1.0629999999999999</v>
      </c>
      <c r="AG26" s="1">
        <v>10.058999999999999</v>
      </c>
      <c r="AH26" s="1">
        <v>1.37</v>
      </c>
      <c r="AI26" s="1" t="s">
        <v>21</v>
      </c>
      <c r="AJ26" s="1" t="s">
        <v>21</v>
      </c>
      <c r="AK26" s="1" t="s">
        <v>21</v>
      </c>
    </row>
    <row r="27" spans="1:37" hidden="1" x14ac:dyDescent="0.35">
      <c r="A27" s="1" t="s">
        <v>118</v>
      </c>
      <c r="B27" s="1" t="s">
        <v>120</v>
      </c>
      <c r="C27" s="1" t="s">
        <v>40</v>
      </c>
      <c r="D27" s="4">
        <v>45520</v>
      </c>
      <c r="E27" s="1">
        <v>7.9824325700000003</v>
      </c>
      <c r="F27" s="1">
        <v>-76.657693710000004</v>
      </c>
      <c r="G27" s="1" t="s">
        <v>125</v>
      </c>
      <c r="H27" s="1" t="s">
        <v>124</v>
      </c>
      <c r="I27" s="1">
        <v>0.45730463170000002</v>
      </c>
      <c r="J27" s="1">
        <v>5.1009997959999998E-2</v>
      </c>
      <c r="K27" s="1">
        <v>0.49168537030000004</v>
      </c>
      <c r="L27" s="1">
        <v>11.82</v>
      </c>
      <c r="M27" s="1">
        <v>26.84</v>
      </c>
      <c r="N27" s="1">
        <v>22.91</v>
      </c>
      <c r="O27" s="1">
        <v>7.34</v>
      </c>
      <c r="P27" s="1">
        <v>3.28</v>
      </c>
      <c r="Q27" s="1">
        <v>0.75</v>
      </c>
      <c r="R27" s="1" t="s">
        <v>21</v>
      </c>
      <c r="S27" s="1" t="s">
        <v>21</v>
      </c>
      <c r="T27" s="1">
        <v>9.1999999999999998E-2</v>
      </c>
      <c r="U27" s="2">
        <v>27.614719999999998</v>
      </c>
      <c r="V27" s="2">
        <f t="shared" si="0"/>
        <v>30.699400000000001</v>
      </c>
      <c r="W27" s="2">
        <f t="shared" si="1"/>
        <v>587.92499999999995</v>
      </c>
      <c r="X27" s="1">
        <v>5.26</v>
      </c>
      <c r="Y27" s="1">
        <v>0.39200000000000002</v>
      </c>
      <c r="Z27" s="1">
        <v>11.93</v>
      </c>
      <c r="AA27" s="1">
        <v>11.43</v>
      </c>
      <c r="AB27" s="1">
        <v>0.879</v>
      </c>
      <c r="AC27" s="1">
        <v>1.58</v>
      </c>
      <c r="AD27" s="1">
        <v>0.73799999999999999</v>
      </c>
      <c r="AE27" s="1">
        <v>49.51</v>
      </c>
      <c r="AF27" s="1">
        <v>1.0369999999999999</v>
      </c>
      <c r="AG27" s="1">
        <v>11.766</v>
      </c>
      <c r="AH27" s="1">
        <v>1.34</v>
      </c>
      <c r="AI27" s="1" t="s">
        <v>21</v>
      </c>
      <c r="AJ27" s="1" t="s">
        <v>21</v>
      </c>
      <c r="AK27" s="1" t="s">
        <v>21</v>
      </c>
    </row>
    <row r="28" spans="1:37" hidden="1" x14ac:dyDescent="0.35">
      <c r="A28" s="1" t="s">
        <v>119</v>
      </c>
      <c r="B28" s="1" t="s">
        <v>120</v>
      </c>
      <c r="C28" s="1" t="s">
        <v>40</v>
      </c>
      <c r="D28" s="4">
        <v>45520</v>
      </c>
      <c r="E28" s="1">
        <v>7.9828304079999999</v>
      </c>
      <c r="F28" s="1">
        <v>-76.657227820000003</v>
      </c>
      <c r="G28" s="1" t="s">
        <v>125</v>
      </c>
      <c r="H28" s="1" t="s">
        <v>126</v>
      </c>
      <c r="I28" s="1">
        <v>0.48172842020000001</v>
      </c>
      <c r="J28" s="1">
        <v>0.39444218240000001</v>
      </c>
      <c r="K28" s="1">
        <v>0.1238293974</v>
      </c>
      <c r="L28" s="1">
        <v>13.21</v>
      </c>
      <c r="M28" s="1">
        <v>29.99</v>
      </c>
      <c r="N28" s="1">
        <v>23.56</v>
      </c>
      <c r="O28" s="1">
        <v>8.23</v>
      </c>
      <c r="P28" s="1">
        <v>3.37</v>
      </c>
      <c r="Q28" s="1">
        <v>0.5</v>
      </c>
      <c r="R28" s="1" t="s">
        <v>21</v>
      </c>
      <c r="S28" s="1" t="s">
        <v>21</v>
      </c>
      <c r="T28" s="1">
        <v>9.8000000000000004E-2</v>
      </c>
      <c r="U28" s="2">
        <v>29.635199999999994</v>
      </c>
      <c r="V28" s="2">
        <f t="shared" si="0"/>
        <v>31.806000000000001</v>
      </c>
      <c r="W28" s="2">
        <f t="shared" si="1"/>
        <v>394.875</v>
      </c>
      <c r="X28" s="1">
        <v>4.87</v>
      </c>
      <c r="Y28" s="1">
        <v>0.49</v>
      </c>
      <c r="Z28" s="1">
        <v>4.085</v>
      </c>
      <c r="AA28" s="1">
        <v>15.58</v>
      </c>
      <c r="AB28" s="1">
        <v>0.70699999999999996</v>
      </c>
      <c r="AC28" s="1">
        <v>2.8450000000000002</v>
      </c>
      <c r="AD28" s="1">
        <v>0.86399999999999999</v>
      </c>
      <c r="AE28" s="1">
        <v>43.94</v>
      </c>
      <c r="AF28" s="1">
        <v>1.163</v>
      </c>
      <c r="AG28" s="1">
        <v>12.585000000000001</v>
      </c>
      <c r="AH28" s="1">
        <v>1.35</v>
      </c>
      <c r="AI28" s="1" t="s">
        <v>21</v>
      </c>
      <c r="AJ28" s="1" t="s">
        <v>21</v>
      </c>
      <c r="AK28" s="1" t="s">
        <v>21</v>
      </c>
    </row>
    <row r="29" spans="1:37" hidden="1" x14ac:dyDescent="0.35"/>
    <row r="30" spans="1:37" hidden="1" x14ac:dyDescent="0.35"/>
    <row r="31" spans="1:37" hidden="1" x14ac:dyDescent="0.35"/>
    <row r="32" spans="1:37" hidden="1" x14ac:dyDescent="0.35"/>
    <row r="33" spans="24:24" hidden="1" x14ac:dyDescent="0.35"/>
    <row r="34" spans="24:24" hidden="1" x14ac:dyDescent="0.35"/>
    <row r="35" spans="24:24" hidden="1" x14ac:dyDescent="0.35"/>
    <row r="36" spans="24:24" hidden="1" x14ac:dyDescent="0.35"/>
    <row r="37" spans="24:24" hidden="1" x14ac:dyDescent="0.35"/>
    <row r="38" spans="24:24" x14ac:dyDescent="0.35">
      <c r="X38" s="7"/>
    </row>
    <row r="39" spans="24:24" x14ac:dyDescent="0.35">
      <c r="X39" s="7"/>
    </row>
    <row r="40" spans="24:24" x14ac:dyDescent="0.35">
      <c r="X40" s="7"/>
    </row>
    <row r="41" spans="24:24" x14ac:dyDescent="0.35">
      <c r="X41" s="7"/>
    </row>
    <row r="42" spans="24:24" x14ac:dyDescent="0.35">
      <c r="X42" s="7"/>
    </row>
    <row r="43" spans="24:24" x14ac:dyDescent="0.35">
      <c r="X43" s="7"/>
    </row>
    <row r="44" spans="24:24" x14ac:dyDescent="0.35">
      <c r="X44" s="7"/>
    </row>
    <row r="45" spans="24:24" x14ac:dyDescent="0.35">
      <c r="X45" s="7"/>
    </row>
    <row r="46" spans="24:24" x14ac:dyDescent="0.35">
      <c r="X46" s="7"/>
    </row>
  </sheetData>
  <autoFilter ref="A1:AK37" xr:uid="{3594B106-9936-4E82-9D96-90BC8F73080E}">
    <filterColumn colId="1">
      <filters>
        <filter val="Rice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789E3-4B93-484F-A2E3-0BA1A61378CE}">
  <dimension ref="A1:AK10"/>
  <sheetViews>
    <sheetView workbookViewId="0">
      <selection activeCell="B7" sqref="B7"/>
    </sheetView>
  </sheetViews>
  <sheetFormatPr defaultRowHeight="14.5" x14ac:dyDescent="0.35"/>
  <cols>
    <col min="4" max="4" width="14.26953125" bestFit="1" customWidth="1"/>
    <col min="5" max="6" width="14.26953125" customWidth="1"/>
    <col min="16" max="16" width="12" bestFit="1" customWidth="1"/>
  </cols>
  <sheetData>
    <row r="1" spans="1:37" x14ac:dyDescent="0.35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2" t="s">
        <v>97</v>
      </c>
      <c r="V1" s="2" t="s">
        <v>98</v>
      </c>
      <c r="W1" s="2" t="s">
        <v>99</v>
      </c>
      <c r="X1" s="1" t="s">
        <v>100</v>
      </c>
      <c r="Y1" s="1" t="s">
        <v>101</v>
      </c>
      <c r="Z1" s="1" t="s">
        <v>102</v>
      </c>
      <c r="AA1" s="1" t="s">
        <v>103</v>
      </c>
      <c r="AB1" s="1" t="s">
        <v>104</v>
      </c>
      <c r="AC1" s="1" t="s">
        <v>105</v>
      </c>
      <c r="AD1" s="1" t="s">
        <v>106</v>
      </c>
      <c r="AE1" s="1" t="s">
        <v>107</v>
      </c>
      <c r="AF1" s="1" t="s">
        <v>108</v>
      </c>
      <c r="AG1" s="1" t="s">
        <v>109</v>
      </c>
      <c r="AH1" s="1" t="s">
        <v>110</v>
      </c>
      <c r="AI1" s="1" t="s">
        <v>111</v>
      </c>
      <c r="AJ1" s="1" t="s">
        <v>112</v>
      </c>
      <c r="AK1" s="1" t="s">
        <v>113</v>
      </c>
    </row>
    <row r="2" spans="1:37" x14ac:dyDescent="0.35">
      <c r="A2" s="1" t="s">
        <v>114</v>
      </c>
      <c r="B2" s="1" t="s">
        <v>115</v>
      </c>
      <c r="C2" s="1" t="s">
        <v>15</v>
      </c>
      <c r="D2" s="4">
        <v>45762</v>
      </c>
      <c r="E2" s="1">
        <v>4.1599512550000002</v>
      </c>
      <c r="F2" s="1">
        <v>-74.913889549999993</v>
      </c>
      <c r="G2" s="1" t="s">
        <v>116</v>
      </c>
      <c r="H2" s="1" t="s">
        <v>21</v>
      </c>
      <c r="I2" s="1" t="s">
        <v>21</v>
      </c>
      <c r="J2" s="1" t="s">
        <v>21</v>
      </c>
      <c r="K2" s="1" t="s">
        <v>21</v>
      </c>
      <c r="L2">
        <v>8.32</v>
      </c>
      <c r="M2">
        <v>18.89</v>
      </c>
      <c r="N2">
        <v>61.16</v>
      </c>
      <c r="O2">
        <v>3.056</v>
      </c>
      <c r="P2">
        <v>0.95199999999999996</v>
      </c>
      <c r="Q2">
        <v>0.14099999999999999</v>
      </c>
      <c r="R2">
        <v>0.20399999999999999</v>
      </c>
      <c r="S2">
        <v>5.95</v>
      </c>
      <c r="T2">
        <v>0.08</v>
      </c>
      <c r="U2">
        <f>+AJ2*AH2*(30/10)</f>
        <v>34.793062531035616</v>
      </c>
      <c r="V2" s="2">
        <f t="shared" ref="V2:V10" si="0">+(((10000*0.2*AH2*1000)*N2)/1000000)*50%</f>
        <v>114.22134752539657</v>
      </c>
      <c r="W2" s="2">
        <f t="shared" ref="W2:W10" si="1">+(((10000*0.2*AH2*1000)*(Q2*390))/1000000)*75%</f>
        <v>154.04754497436781</v>
      </c>
      <c r="X2">
        <v>7.0220000000000002</v>
      </c>
      <c r="Y2" s="1" t="s">
        <v>21</v>
      </c>
      <c r="Z2">
        <v>53.63</v>
      </c>
      <c r="AA2">
        <v>34.57</v>
      </c>
      <c r="AB2">
        <v>3.5489999999999999</v>
      </c>
      <c r="AC2">
        <v>4.6180000000000003</v>
      </c>
      <c r="AD2">
        <v>1.296</v>
      </c>
      <c r="AE2">
        <v>26.9</v>
      </c>
      <c r="AF2">
        <v>0.67600000000000005</v>
      </c>
      <c r="AG2" s="1" t="s">
        <v>21</v>
      </c>
      <c r="AH2" s="3">
        <f>+[1]DA!$K$13</f>
        <v>1.867582529846249</v>
      </c>
      <c r="AI2" s="3">
        <v>0.56000000000000005</v>
      </c>
      <c r="AJ2">
        <v>6.21</v>
      </c>
      <c r="AK2">
        <v>2.2400000000000002</v>
      </c>
    </row>
    <row r="3" spans="1:37" x14ac:dyDescent="0.35">
      <c r="A3" s="1" t="s">
        <v>118</v>
      </c>
      <c r="B3" s="1" t="s">
        <v>115</v>
      </c>
      <c r="C3" s="1" t="s">
        <v>15</v>
      </c>
      <c r="D3" s="4">
        <v>45762</v>
      </c>
      <c r="E3" s="1">
        <v>4.159654873</v>
      </c>
      <c r="F3" s="1">
        <v>-74.913912420000003</v>
      </c>
      <c r="G3" s="1" t="s">
        <v>116</v>
      </c>
      <c r="H3" s="1" t="s">
        <v>21</v>
      </c>
      <c r="I3" s="1" t="s">
        <v>21</v>
      </c>
      <c r="J3" s="1" t="s">
        <v>21</v>
      </c>
      <c r="K3" s="1" t="s">
        <v>21</v>
      </c>
      <c r="L3">
        <v>6.91</v>
      </c>
      <c r="M3">
        <v>15.68</v>
      </c>
      <c r="N3">
        <v>40.29</v>
      </c>
      <c r="O3">
        <v>3.1850000000000001</v>
      </c>
      <c r="P3">
        <v>1.2829999999999999</v>
      </c>
      <c r="Q3">
        <v>0.152</v>
      </c>
      <c r="R3">
        <v>0.15</v>
      </c>
      <c r="S3">
        <v>6.23</v>
      </c>
      <c r="T3">
        <v>0</v>
      </c>
      <c r="U3">
        <f t="shared" ref="U3:U10" si="2">+AJ3*AH3*(30/10)</f>
        <v>31.577014860610852</v>
      </c>
      <c r="V3" s="2">
        <f t="shared" si="0"/>
        <v>72.368482863140571</v>
      </c>
      <c r="W3" s="2">
        <f t="shared" si="1"/>
        <v>159.71718779326034</v>
      </c>
      <c r="X3">
        <v>6.98</v>
      </c>
      <c r="Y3" s="1" t="s">
        <v>21</v>
      </c>
      <c r="Z3">
        <v>22.96</v>
      </c>
      <c r="AA3">
        <v>20.92</v>
      </c>
      <c r="AB3">
        <v>2.2589999999999999</v>
      </c>
      <c r="AC3">
        <v>2.403</v>
      </c>
      <c r="AD3">
        <v>0.93300000000000005</v>
      </c>
      <c r="AE3">
        <v>14.78</v>
      </c>
      <c r="AF3">
        <v>0.53</v>
      </c>
      <c r="AG3" s="1" t="s">
        <v>21</v>
      </c>
      <c r="AH3" s="3">
        <f>+[1]DA!$K$7</f>
        <v>1.7961896962804806</v>
      </c>
      <c r="AI3" s="3">
        <v>0.49099999999999999</v>
      </c>
      <c r="AJ3">
        <v>5.86</v>
      </c>
      <c r="AK3">
        <v>0.73</v>
      </c>
    </row>
    <row r="4" spans="1:37" x14ac:dyDescent="0.35">
      <c r="A4" s="1" t="s">
        <v>119</v>
      </c>
      <c r="B4" s="1" t="s">
        <v>115</v>
      </c>
      <c r="C4" s="1" t="s">
        <v>15</v>
      </c>
      <c r="D4" s="4">
        <v>45762</v>
      </c>
      <c r="E4" s="1">
        <v>4.1598125450000003</v>
      </c>
      <c r="F4" s="1">
        <v>-74.914047460000006</v>
      </c>
      <c r="G4" s="1" t="s">
        <v>116</v>
      </c>
      <c r="H4" s="1" t="s">
        <v>21</v>
      </c>
      <c r="I4" s="1" t="s">
        <v>21</v>
      </c>
      <c r="J4" s="1" t="s">
        <v>21</v>
      </c>
      <c r="K4" s="1" t="s">
        <v>21</v>
      </c>
      <c r="L4">
        <v>9.43</v>
      </c>
      <c r="M4">
        <v>21.41</v>
      </c>
      <c r="N4">
        <v>47.08</v>
      </c>
      <c r="O4">
        <v>4.5289999999999999</v>
      </c>
      <c r="P4">
        <v>1.3440000000000001</v>
      </c>
      <c r="Q4">
        <v>0.154</v>
      </c>
      <c r="R4">
        <v>0.219</v>
      </c>
      <c r="S4">
        <v>7.79</v>
      </c>
      <c r="T4">
        <v>0.09</v>
      </c>
      <c r="U4">
        <f t="shared" si="2"/>
        <v>35.14092792755082</v>
      </c>
      <c r="V4" s="2">
        <f t="shared" si="0"/>
        <v>81.821705580073825</v>
      </c>
      <c r="W4" s="2">
        <f t="shared" si="1"/>
        <v>156.57003941607584</v>
      </c>
      <c r="X4">
        <v>6.96</v>
      </c>
      <c r="Y4" s="1" t="s">
        <v>21</v>
      </c>
      <c r="Z4">
        <v>19.52</v>
      </c>
      <c r="AA4">
        <v>22.71</v>
      </c>
      <c r="AB4">
        <v>3.4380000000000002</v>
      </c>
      <c r="AC4">
        <v>3.7629999999999999</v>
      </c>
      <c r="AD4">
        <v>1.2829999999999999</v>
      </c>
      <c r="AE4">
        <v>15.35</v>
      </c>
      <c r="AF4">
        <v>0.70199999999999996</v>
      </c>
      <c r="AG4" s="1" t="s">
        <v>21</v>
      </c>
      <c r="AH4" s="3">
        <f>+AVERAGE([1]DA!$K$8:$K$12)</f>
        <v>1.7379291754476172</v>
      </c>
      <c r="AI4" s="3">
        <v>0.65989999999999993</v>
      </c>
      <c r="AJ4">
        <v>6.74</v>
      </c>
      <c r="AK4">
        <v>3.04</v>
      </c>
    </row>
    <row r="5" spans="1:37" x14ac:dyDescent="0.35">
      <c r="A5" s="1" t="s">
        <v>114</v>
      </c>
      <c r="B5" s="1" t="s">
        <v>115</v>
      </c>
      <c r="C5" s="1" t="s">
        <v>38</v>
      </c>
      <c r="D5" s="4">
        <v>45762</v>
      </c>
      <c r="E5" s="1">
        <v>4.1162645820000003</v>
      </c>
      <c r="F5" s="1">
        <v>-74.894875470000002</v>
      </c>
      <c r="G5" s="1" t="s">
        <v>116</v>
      </c>
      <c r="H5" s="1" t="s">
        <v>21</v>
      </c>
      <c r="I5" s="1" t="s">
        <v>21</v>
      </c>
      <c r="J5" s="1" t="s">
        <v>21</v>
      </c>
      <c r="K5" s="1" t="s">
        <v>21</v>
      </c>
      <c r="L5">
        <v>5.74</v>
      </c>
      <c r="M5">
        <v>13.02</v>
      </c>
      <c r="N5">
        <v>102.18</v>
      </c>
      <c r="O5">
        <v>6.4930000000000003</v>
      </c>
      <c r="P5">
        <v>1.58</v>
      </c>
      <c r="Q5">
        <v>0.29599999999999999</v>
      </c>
      <c r="R5">
        <v>0.27600000000000002</v>
      </c>
      <c r="S5">
        <v>11.32</v>
      </c>
      <c r="T5">
        <v>0</v>
      </c>
      <c r="U5">
        <f t="shared" si="2"/>
        <v>32.767962443767878</v>
      </c>
      <c r="V5" s="2">
        <f t="shared" si="0"/>
        <v>162.93091982988818</v>
      </c>
      <c r="W5" s="2">
        <f t="shared" si="1"/>
        <v>276.11194047507769</v>
      </c>
      <c r="X5">
        <v>7.76</v>
      </c>
      <c r="Y5" s="1" t="s">
        <v>21</v>
      </c>
      <c r="Z5">
        <v>18.670000000000002</v>
      </c>
      <c r="AA5">
        <v>53.87</v>
      </c>
      <c r="AB5">
        <v>0.64800000000000002</v>
      </c>
      <c r="AC5">
        <v>2.5670000000000002</v>
      </c>
      <c r="AD5">
        <v>0.94899999999999995</v>
      </c>
      <c r="AE5">
        <v>10.4</v>
      </c>
      <c r="AF5">
        <v>0.45900000000000002</v>
      </c>
      <c r="AG5" s="1" t="s">
        <v>21</v>
      </c>
      <c r="AH5" s="3">
        <f>+[1]DA!$K$20</f>
        <v>1.5945480507916245</v>
      </c>
      <c r="AI5" s="3">
        <v>0.57029999999999992</v>
      </c>
      <c r="AJ5">
        <v>6.85</v>
      </c>
      <c r="AK5">
        <v>1.18</v>
      </c>
    </row>
    <row r="6" spans="1:37" x14ac:dyDescent="0.35">
      <c r="A6" s="1" t="s">
        <v>118</v>
      </c>
      <c r="B6" s="1" t="s">
        <v>115</v>
      </c>
      <c r="C6" s="1" t="s">
        <v>38</v>
      </c>
      <c r="D6" s="4">
        <v>45762</v>
      </c>
      <c r="E6" s="1">
        <v>4.1160149290000003</v>
      </c>
      <c r="F6" s="1">
        <v>-74.894588099999993</v>
      </c>
      <c r="G6" s="1" t="s">
        <v>116</v>
      </c>
      <c r="H6" s="1" t="s">
        <v>21</v>
      </c>
      <c r="I6" s="1" t="s">
        <v>21</v>
      </c>
      <c r="J6" s="1" t="s">
        <v>21</v>
      </c>
      <c r="K6" s="1" t="s">
        <v>21</v>
      </c>
      <c r="L6">
        <v>4.9800000000000004</v>
      </c>
      <c r="M6">
        <v>11.32</v>
      </c>
      <c r="N6">
        <v>45.41</v>
      </c>
      <c r="O6">
        <v>9.9039999999999999</v>
      </c>
      <c r="P6">
        <v>3.6549999999999998</v>
      </c>
      <c r="Q6">
        <v>0.45</v>
      </c>
      <c r="R6">
        <v>0.39</v>
      </c>
      <c r="S6">
        <v>16.88</v>
      </c>
      <c r="T6">
        <v>0</v>
      </c>
      <c r="U6">
        <f t="shared" si="2"/>
        <v>49.811287609634832</v>
      </c>
      <c r="V6" s="2">
        <f t="shared" si="0"/>
        <v>66.080355546407191</v>
      </c>
      <c r="W6" s="2">
        <f t="shared" si="1"/>
        <v>383.07979734841865</v>
      </c>
      <c r="X6">
        <v>7.3940000000000001</v>
      </c>
      <c r="Y6" s="1" t="s">
        <v>21</v>
      </c>
      <c r="Z6">
        <v>11.12</v>
      </c>
      <c r="AA6">
        <v>33.700000000000003</v>
      </c>
      <c r="AB6">
        <v>0.39700000000000002</v>
      </c>
      <c r="AC6">
        <v>0.82899999999999996</v>
      </c>
      <c r="AD6">
        <v>1.018</v>
      </c>
      <c r="AE6">
        <v>49.61</v>
      </c>
      <c r="AF6">
        <v>0.46300000000000002</v>
      </c>
      <c r="AG6" s="1" t="s">
        <v>21</v>
      </c>
      <c r="AH6" s="3">
        <f>+AVERAGE([1]DA!$K$14)</f>
        <v>1.4551939120547717</v>
      </c>
      <c r="AI6" s="3">
        <v>0.43010000000000004</v>
      </c>
      <c r="AJ6">
        <v>11.41</v>
      </c>
      <c r="AK6">
        <v>0.96</v>
      </c>
    </row>
    <row r="7" spans="1:37" x14ac:dyDescent="0.35">
      <c r="A7" s="1" t="s">
        <v>119</v>
      </c>
      <c r="B7" s="1" t="s">
        <v>115</v>
      </c>
      <c r="C7" s="1" t="s">
        <v>38</v>
      </c>
      <c r="D7" s="4">
        <v>45762</v>
      </c>
      <c r="E7" s="1">
        <v>4.1160061890000001</v>
      </c>
      <c r="F7" s="1">
        <v>-74.894839439999998</v>
      </c>
      <c r="G7" s="1" t="s">
        <v>116</v>
      </c>
      <c r="H7" s="1" t="s">
        <v>21</v>
      </c>
      <c r="I7" s="1" t="s">
        <v>21</v>
      </c>
      <c r="J7" s="1" t="s">
        <v>21</v>
      </c>
      <c r="K7" s="1" t="s">
        <v>21</v>
      </c>
      <c r="L7">
        <v>4.72</v>
      </c>
      <c r="M7">
        <v>10.71</v>
      </c>
      <c r="N7">
        <v>48.56</v>
      </c>
      <c r="O7">
        <v>19.59</v>
      </c>
      <c r="P7">
        <v>4.718</v>
      </c>
      <c r="Q7">
        <v>0.46</v>
      </c>
      <c r="R7">
        <v>0.55200000000000005</v>
      </c>
      <c r="S7">
        <v>20.77</v>
      </c>
      <c r="T7">
        <v>0</v>
      </c>
      <c r="U7">
        <f t="shared" si="2"/>
        <v>40.585267301439046</v>
      </c>
      <c r="V7" s="2">
        <f t="shared" si="0"/>
        <v>64.72317176216356</v>
      </c>
      <c r="W7" s="2">
        <f t="shared" si="1"/>
        <v>358.66980068365353</v>
      </c>
      <c r="X7">
        <v>7.7229999999999999</v>
      </c>
      <c r="Y7" s="1" t="s">
        <v>21</v>
      </c>
      <c r="Z7">
        <v>3.9</v>
      </c>
      <c r="AA7">
        <v>21.24</v>
      </c>
      <c r="AB7">
        <v>9.2999999999999999E-2</v>
      </c>
      <c r="AC7">
        <v>8.3000000000000004E-2</v>
      </c>
      <c r="AD7">
        <v>0.77700000000000002</v>
      </c>
      <c r="AE7">
        <v>24.61</v>
      </c>
      <c r="AF7">
        <v>0.39500000000000002</v>
      </c>
      <c r="AG7" s="1" t="s">
        <v>21</v>
      </c>
      <c r="AH7" s="3">
        <f>+AVERAGE([1]DA!$K$15:$K$20)</f>
        <v>1.3328495008682775</v>
      </c>
      <c r="AI7" s="3">
        <v>0.39679999999999999</v>
      </c>
      <c r="AJ7">
        <v>10.15</v>
      </c>
      <c r="AK7">
        <v>1</v>
      </c>
    </row>
    <row r="8" spans="1:37" x14ac:dyDescent="0.35">
      <c r="A8" s="1" t="s">
        <v>114</v>
      </c>
      <c r="B8" s="1" t="s">
        <v>115</v>
      </c>
      <c r="C8" s="1" t="s">
        <v>40</v>
      </c>
      <c r="D8" s="4">
        <v>45762</v>
      </c>
      <c r="E8" s="1">
        <v>4.0768869319999999</v>
      </c>
      <c r="F8" s="1">
        <v>-74.930371320000006</v>
      </c>
      <c r="G8" s="1" t="s">
        <v>116</v>
      </c>
      <c r="H8" s="1" t="s">
        <v>21</v>
      </c>
      <c r="I8" s="1" t="s">
        <v>21</v>
      </c>
      <c r="J8" s="1" t="s">
        <v>21</v>
      </c>
      <c r="K8" s="1" t="s">
        <v>21</v>
      </c>
      <c r="L8">
        <v>4.0199999999999996</v>
      </c>
      <c r="M8">
        <v>9.1300000000000008</v>
      </c>
      <c r="N8">
        <v>5.3</v>
      </c>
      <c r="O8">
        <v>2.5720000000000001</v>
      </c>
      <c r="P8">
        <v>0.81</v>
      </c>
      <c r="Q8">
        <v>0.17899999999999999</v>
      </c>
      <c r="R8">
        <v>5.8000000000000003E-2</v>
      </c>
      <c r="S8">
        <v>5.77</v>
      </c>
      <c r="T8">
        <v>0</v>
      </c>
      <c r="U8">
        <f t="shared" si="2"/>
        <v>32.396803025857814</v>
      </c>
      <c r="V8" s="2">
        <f t="shared" si="0"/>
        <v>9.3673243882731256</v>
      </c>
      <c r="W8" s="2">
        <f t="shared" si="1"/>
        <v>185.07535345623026</v>
      </c>
      <c r="X8">
        <v>6.5430000000000001</v>
      </c>
      <c r="Y8" s="1" t="s">
        <v>21</v>
      </c>
      <c r="Z8">
        <v>12.86</v>
      </c>
      <c r="AA8">
        <v>10.16</v>
      </c>
      <c r="AB8">
        <v>0.627</v>
      </c>
      <c r="AC8">
        <v>0.22700000000000001</v>
      </c>
      <c r="AD8">
        <v>0.57299999999999995</v>
      </c>
      <c r="AE8">
        <v>20.9</v>
      </c>
      <c r="AF8">
        <v>0.41099999999999998</v>
      </c>
      <c r="AG8" s="1" t="s">
        <v>21</v>
      </c>
      <c r="AH8" s="3">
        <f>+[1]DA!$K$27</f>
        <v>1.7674196959005897</v>
      </c>
      <c r="AI8" s="3">
        <v>0.60450000000000004</v>
      </c>
      <c r="AJ8">
        <v>6.11</v>
      </c>
      <c r="AK8">
        <v>2.29</v>
      </c>
    </row>
    <row r="9" spans="1:37" x14ac:dyDescent="0.35">
      <c r="A9" s="1" t="s">
        <v>118</v>
      </c>
      <c r="B9" s="1" t="s">
        <v>115</v>
      </c>
      <c r="C9" s="1" t="s">
        <v>40</v>
      </c>
      <c r="D9" s="4">
        <v>45762</v>
      </c>
      <c r="E9" s="1">
        <v>4.0772288510000001</v>
      </c>
      <c r="F9" s="1">
        <v>-74.930351329999993</v>
      </c>
      <c r="G9" s="1" t="s">
        <v>116</v>
      </c>
      <c r="H9" s="1" t="s">
        <v>21</v>
      </c>
      <c r="I9" s="1" t="s">
        <v>21</v>
      </c>
      <c r="J9" s="1" t="s">
        <v>21</v>
      </c>
      <c r="K9" s="1" t="s">
        <v>21</v>
      </c>
      <c r="L9">
        <v>6.54</v>
      </c>
      <c r="M9">
        <v>14.84</v>
      </c>
      <c r="N9">
        <v>21.76</v>
      </c>
      <c r="O9">
        <v>2.492</v>
      </c>
      <c r="P9">
        <v>0.61599999999999999</v>
      </c>
      <c r="Q9">
        <v>0.22700000000000001</v>
      </c>
      <c r="R9">
        <v>3.5999999999999997E-2</v>
      </c>
      <c r="S9">
        <v>6.14</v>
      </c>
      <c r="T9">
        <v>1.2999999999999999E-2</v>
      </c>
      <c r="U9">
        <f t="shared" si="2"/>
        <v>35.019203846391171</v>
      </c>
      <c r="V9" s="2">
        <f t="shared" si="0"/>
        <v>39.441919031960232</v>
      </c>
      <c r="W9" s="2">
        <f t="shared" si="1"/>
        <v>240.70264879821505</v>
      </c>
      <c r="X9">
        <v>6.8029999999999999</v>
      </c>
      <c r="Y9" s="1" t="s">
        <v>21</v>
      </c>
      <c r="Z9">
        <v>49.8</v>
      </c>
      <c r="AA9">
        <v>15.4</v>
      </c>
      <c r="AB9">
        <v>1.4710000000000001</v>
      </c>
      <c r="AC9">
        <v>2.2829999999999999</v>
      </c>
      <c r="AD9">
        <v>0.51800000000000002</v>
      </c>
      <c r="AE9">
        <v>17.03</v>
      </c>
      <c r="AF9">
        <v>0.66800000000000004</v>
      </c>
      <c r="AG9" s="1" t="s">
        <v>21</v>
      </c>
      <c r="AH9" s="3">
        <f>+[1]DA!$K$21</f>
        <v>1.8125881908069963</v>
      </c>
      <c r="AI9" s="3">
        <v>0.64779999999999993</v>
      </c>
      <c r="AJ9">
        <v>6.44</v>
      </c>
      <c r="AK9">
        <v>0.3</v>
      </c>
    </row>
    <row r="10" spans="1:37" x14ac:dyDescent="0.35">
      <c r="A10" s="1" t="s">
        <v>119</v>
      </c>
      <c r="B10" s="1" t="s">
        <v>115</v>
      </c>
      <c r="C10" s="1" t="s">
        <v>40</v>
      </c>
      <c r="D10" s="4">
        <v>45762</v>
      </c>
      <c r="E10" s="1">
        <v>4.0770494949999998</v>
      </c>
      <c r="F10" s="1">
        <v>-74.930274470000001</v>
      </c>
      <c r="G10" s="1" t="s">
        <v>116</v>
      </c>
      <c r="H10" s="1" t="s">
        <v>21</v>
      </c>
      <c r="I10" s="1" t="s">
        <v>21</v>
      </c>
      <c r="J10" s="1" t="s">
        <v>21</v>
      </c>
      <c r="K10" s="1" t="s">
        <v>21</v>
      </c>
      <c r="L10">
        <v>5.7</v>
      </c>
      <c r="M10">
        <v>12.95</v>
      </c>
      <c r="N10">
        <v>8.69</v>
      </c>
      <c r="O10">
        <v>2.661</v>
      </c>
      <c r="P10">
        <v>0.73099999999999998</v>
      </c>
      <c r="Q10">
        <v>0.2</v>
      </c>
      <c r="R10">
        <v>5.8000000000000003E-2</v>
      </c>
      <c r="S10">
        <v>5.95</v>
      </c>
      <c r="T10">
        <v>0</v>
      </c>
      <c r="U10">
        <f t="shared" si="2"/>
        <v>31.533082569656944</v>
      </c>
      <c r="V10" s="2">
        <f t="shared" si="0"/>
        <v>15.403175240602522</v>
      </c>
      <c r="W10" s="2">
        <f t="shared" si="1"/>
        <v>207.38452280212834</v>
      </c>
      <c r="X10">
        <v>6.58</v>
      </c>
      <c r="Y10" s="1" t="s">
        <v>21</v>
      </c>
      <c r="Z10">
        <v>18.45</v>
      </c>
      <c r="AA10">
        <v>14.09</v>
      </c>
      <c r="AB10">
        <v>0.76900000000000002</v>
      </c>
      <c r="AC10">
        <v>0.745</v>
      </c>
      <c r="AD10">
        <v>0.56699999999999995</v>
      </c>
      <c r="AE10">
        <v>11.11</v>
      </c>
      <c r="AF10">
        <v>0.55200000000000005</v>
      </c>
      <c r="AG10" s="1" t="s">
        <v>21</v>
      </c>
      <c r="AH10" s="3">
        <f>+AVERAGE([1]DA!$K$22:$K$26)</f>
        <v>1.7725172889070797</v>
      </c>
      <c r="AI10" s="3">
        <v>0.32800000000000001</v>
      </c>
      <c r="AJ10">
        <v>5.93</v>
      </c>
      <c r="AK10">
        <v>1.61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88276-5EC8-4C80-930B-550C3B35023C}">
  <sheetPr filterMode="1"/>
  <dimension ref="A1:O245"/>
  <sheetViews>
    <sheetView topLeftCell="A146" zoomScale="85" zoomScaleNormal="85" workbookViewId="0">
      <selection activeCell="L137" sqref="L137"/>
    </sheetView>
  </sheetViews>
  <sheetFormatPr defaultRowHeight="14.5" x14ac:dyDescent="0.35"/>
  <cols>
    <col min="2" max="2" width="10.453125" style="3" bestFit="1" customWidth="1"/>
    <col min="3" max="3" width="12.81640625" bestFit="1" customWidth="1"/>
    <col min="4" max="4" width="12.81640625" customWidth="1"/>
    <col min="5" max="5" width="15.26953125" bestFit="1" customWidth="1"/>
    <col min="6" max="6" width="15.26953125" customWidth="1"/>
    <col min="7" max="7" width="16.7265625" bestFit="1" customWidth="1"/>
    <col min="8" max="8" width="17.54296875" bestFit="1" customWidth="1"/>
    <col min="9" max="9" width="13.81640625" bestFit="1" customWidth="1"/>
    <col min="10" max="10" width="17.7265625" bestFit="1" customWidth="1"/>
    <col min="11" max="11" width="17.453125" bestFit="1" customWidth="1"/>
    <col min="12" max="12" width="20.7265625" bestFit="1" customWidth="1"/>
    <col min="13" max="13" width="18.54296875" bestFit="1" customWidth="1"/>
    <col min="14" max="15" width="16" bestFit="1" customWidth="1"/>
  </cols>
  <sheetData>
    <row r="1" spans="1:15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idden="1" x14ac:dyDescent="0.35">
      <c r="A2" s="1" t="s">
        <v>15</v>
      </c>
      <c r="B2" s="2">
        <v>11</v>
      </c>
      <c r="C2" s="1" t="s">
        <v>16</v>
      </c>
      <c r="D2" s="1" t="s">
        <v>17</v>
      </c>
      <c r="E2" s="1" t="s">
        <v>18</v>
      </c>
      <c r="F2" s="1">
        <v>1</v>
      </c>
      <c r="G2" s="1" t="s">
        <v>19</v>
      </c>
      <c r="H2" s="1" t="s">
        <v>20</v>
      </c>
      <c r="I2" s="1">
        <v>200</v>
      </c>
      <c r="J2" s="1" t="s">
        <v>21</v>
      </c>
      <c r="K2" s="1">
        <v>36</v>
      </c>
      <c r="L2" s="1">
        <v>14</v>
      </c>
      <c r="M2" s="1">
        <v>22</v>
      </c>
      <c r="N2" s="1">
        <v>36</v>
      </c>
      <c r="O2" s="1">
        <v>36</v>
      </c>
    </row>
    <row r="3" spans="1:15" hidden="1" x14ac:dyDescent="0.35">
      <c r="A3" s="1" t="s">
        <v>15</v>
      </c>
      <c r="B3" s="2">
        <v>11</v>
      </c>
      <c r="C3" s="1" t="s">
        <v>16</v>
      </c>
      <c r="D3" s="1" t="s">
        <v>17</v>
      </c>
      <c r="E3" s="1" t="s">
        <v>18</v>
      </c>
      <c r="F3" s="1">
        <v>1</v>
      </c>
      <c r="G3" s="1" t="s">
        <v>19</v>
      </c>
      <c r="H3" s="1" t="s">
        <v>22</v>
      </c>
      <c r="I3" s="1">
        <v>25</v>
      </c>
      <c r="J3" s="1" t="s">
        <v>21</v>
      </c>
      <c r="K3" s="1">
        <v>0</v>
      </c>
      <c r="L3" s="1">
        <v>0</v>
      </c>
      <c r="M3" s="1">
        <v>5.5</v>
      </c>
      <c r="N3" s="1">
        <v>9</v>
      </c>
      <c r="O3" s="1">
        <v>9</v>
      </c>
    </row>
    <row r="4" spans="1:15" hidden="1" x14ac:dyDescent="0.35">
      <c r="A4" s="1" t="s">
        <v>15</v>
      </c>
      <c r="B4" s="2">
        <v>11</v>
      </c>
      <c r="C4" s="1" t="s">
        <v>16</v>
      </c>
      <c r="D4" s="1" t="s">
        <v>17</v>
      </c>
      <c r="E4" s="1" t="s">
        <v>18</v>
      </c>
      <c r="F4" s="1">
        <v>1</v>
      </c>
      <c r="G4" s="1" t="s">
        <v>23</v>
      </c>
      <c r="H4" s="1" t="s">
        <v>24</v>
      </c>
      <c r="I4" s="1">
        <v>57.5</v>
      </c>
      <c r="J4" s="1" t="s">
        <v>21</v>
      </c>
      <c r="K4" s="1">
        <v>23</v>
      </c>
      <c r="L4" s="1">
        <v>0</v>
      </c>
      <c r="M4" s="1">
        <v>6.1</v>
      </c>
      <c r="N4" s="1">
        <v>9.99</v>
      </c>
      <c r="O4" s="1">
        <v>9.99</v>
      </c>
    </row>
    <row r="5" spans="1:15" hidden="1" x14ac:dyDescent="0.35">
      <c r="A5" s="1" t="s">
        <v>15</v>
      </c>
      <c r="B5" s="2">
        <v>11</v>
      </c>
      <c r="C5" s="1" t="s">
        <v>16</v>
      </c>
      <c r="D5" s="1" t="s">
        <v>17</v>
      </c>
      <c r="E5" s="1" t="s">
        <v>18</v>
      </c>
      <c r="F5" s="1">
        <v>1</v>
      </c>
      <c r="G5" s="1" t="s">
        <v>23</v>
      </c>
      <c r="H5" s="1" t="s">
        <v>22</v>
      </c>
      <c r="I5" s="1">
        <v>25</v>
      </c>
      <c r="J5" s="1" t="s">
        <v>21</v>
      </c>
      <c r="K5" s="1">
        <v>0</v>
      </c>
      <c r="L5" s="1">
        <v>0</v>
      </c>
      <c r="M5" s="1">
        <v>0</v>
      </c>
      <c r="N5" s="1">
        <v>0.75</v>
      </c>
      <c r="O5" s="1">
        <v>0</v>
      </c>
    </row>
    <row r="6" spans="1:15" hidden="1" x14ac:dyDescent="0.35">
      <c r="A6" s="1" t="s">
        <v>15</v>
      </c>
      <c r="B6" s="2">
        <v>11</v>
      </c>
      <c r="C6" s="1" t="s">
        <v>16</v>
      </c>
      <c r="D6" s="1" t="s">
        <v>17</v>
      </c>
      <c r="E6" s="1" t="s">
        <v>18</v>
      </c>
      <c r="F6" s="1">
        <v>1</v>
      </c>
      <c r="G6" s="1" t="s">
        <v>23</v>
      </c>
      <c r="H6" s="1" t="s">
        <v>25</v>
      </c>
      <c r="I6" s="1">
        <v>50</v>
      </c>
      <c r="J6" s="1" t="s">
        <v>21</v>
      </c>
      <c r="K6" s="1">
        <v>6</v>
      </c>
      <c r="L6" s="1">
        <v>6</v>
      </c>
      <c r="M6" s="1">
        <v>0</v>
      </c>
      <c r="N6" s="1">
        <v>1.5</v>
      </c>
      <c r="O6" s="1">
        <v>0</v>
      </c>
    </row>
    <row r="7" spans="1:15" hidden="1" x14ac:dyDescent="0.35">
      <c r="A7" s="1" t="s">
        <v>15</v>
      </c>
      <c r="B7" s="2">
        <v>11</v>
      </c>
      <c r="C7" s="1" t="s">
        <v>16</v>
      </c>
      <c r="D7" s="1" t="s">
        <v>17</v>
      </c>
      <c r="E7" s="1" t="s">
        <v>18</v>
      </c>
      <c r="F7" s="1">
        <v>1</v>
      </c>
      <c r="G7" s="1" t="s">
        <v>23</v>
      </c>
      <c r="H7" s="1" t="s">
        <v>26</v>
      </c>
      <c r="I7" s="1">
        <v>50</v>
      </c>
      <c r="J7" s="1" t="s">
        <v>21</v>
      </c>
      <c r="K7" s="1">
        <v>0</v>
      </c>
      <c r="L7" s="1">
        <v>0</v>
      </c>
      <c r="M7" s="1">
        <v>35.97</v>
      </c>
      <c r="N7" s="1">
        <v>0</v>
      </c>
      <c r="O7" s="1">
        <v>0</v>
      </c>
    </row>
    <row r="8" spans="1:15" hidden="1" x14ac:dyDescent="0.35">
      <c r="A8" s="1" t="s">
        <v>15</v>
      </c>
      <c r="B8" s="2">
        <v>11</v>
      </c>
      <c r="C8" s="1" t="s">
        <v>16</v>
      </c>
      <c r="D8" s="1" t="s">
        <v>17</v>
      </c>
      <c r="E8" s="1" t="s">
        <v>18</v>
      </c>
      <c r="F8" s="1">
        <v>1</v>
      </c>
      <c r="G8" s="1" t="s">
        <v>27</v>
      </c>
      <c r="H8" s="1" t="s">
        <v>24</v>
      </c>
      <c r="I8" s="1">
        <v>53</v>
      </c>
      <c r="J8" s="1" t="s">
        <v>21</v>
      </c>
      <c r="K8" s="1">
        <v>21.2</v>
      </c>
      <c r="L8" s="1">
        <v>0</v>
      </c>
      <c r="M8" s="1">
        <v>34.5</v>
      </c>
      <c r="N8" s="1">
        <v>0</v>
      </c>
      <c r="O8" s="1">
        <v>0</v>
      </c>
    </row>
    <row r="9" spans="1:15" hidden="1" x14ac:dyDescent="0.35">
      <c r="A9" s="1" t="s">
        <v>15</v>
      </c>
      <c r="B9" s="2">
        <v>11</v>
      </c>
      <c r="C9" s="1" t="s">
        <v>16</v>
      </c>
      <c r="D9" s="1" t="s">
        <v>17</v>
      </c>
      <c r="E9" s="1" t="s">
        <v>18</v>
      </c>
      <c r="F9" s="1">
        <v>1</v>
      </c>
      <c r="G9" s="1" t="s">
        <v>27</v>
      </c>
      <c r="H9" s="1" t="s">
        <v>22</v>
      </c>
      <c r="I9" s="1">
        <v>25</v>
      </c>
      <c r="J9" s="1" t="s">
        <v>21</v>
      </c>
      <c r="K9" s="1">
        <v>0</v>
      </c>
      <c r="L9" s="1">
        <v>0</v>
      </c>
      <c r="M9" s="1">
        <v>27</v>
      </c>
      <c r="N9" s="1">
        <v>0</v>
      </c>
      <c r="O9" s="1">
        <v>0</v>
      </c>
    </row>
    <row r="10" spans="1:15" hidden="1" x14ac:dyDescent="0.35">
      <c r="A10" s="1" t="s">
        <v>15</v>
      </c>
      <c r="B10" s="2">
        <v>11</v>
      </c>
      <c r="C10" s="1" t="s">
        <v>16</v>
      </c>
      <c r="D10" s="1" t="s">
        <v>17</v>
      </c>
      <c r="E10" s="1" t="s">
        <v>18</v>
      </c>
      <c r="F10" s="1">
        <v>1</v>
      </c>
      <c r="G10" s="1" t="s">
        <v>27</v>
      </c>
      <c r="H10" s="1" t="s">
        <v>25</v>
      </c>
      <c r="I10" s="1">
        <v>40</v>
      </c>
      <c r="J10" s="1" t="s">
        <v>21</v>
      </c>
      <c r="K10" s="1">
        <v>4.8</v>
      </c>
      <c r="L10" s="1">
        <v>4.8</v>
      </c>
      <c r="M10" s="1">
        <v>26.96</v>
      </c>
      <c r="N10" s="1">
        <v>0</v>
      </c>
      <c r="O10" s="1">
        <v>0</v>
      </c>
    </row>
    <row r="11" spans="1:15" hidden="1" x14ac:dyDescent="0.35">
      <c r="A11" s="1" t="s">
        <v>15</v>
      </c>
      <c r="B11" s="2">
        <v>11</v>
      </c>
      <c r="C11" s="1" t="s">
        <v>16</v>
      </c>
      <c r="D11" s="1" t="s">
        <v>17</v>
      </c>
      <c r="E11" s="1" t="s">
        <v>18</v>
      </c>
      <c r="F11" s="1">
        <v>1</v>
      </c>
      <c r="G11" s="1" t="s">
        <v>27</v>
      </c>
      <c r="H11" s="1" t="s">
        <v>26</v>
      </c>
      <c r="I11" s="1">
        <v>50</v>
      </c>
      <c r="J11" s="1" t="s">
        <v>21</v>
      </c>
      <c r="K11" s="1">
        <v>0</v>
      </c>
      <c r="L11" s="1">
        <v>0</v>
      </c>
      <c r="M11" s="1">
        <v>25.99</v>
      </c>
      <c r="N11" s="1">
        <v>0</v>
      </c>
      <c r="O11" s="1">
        <v>0</v>
      </c>
    </row>
    <row r="12" spans="1:15" hidden="1" x14ac:dyDescent="0.35">
      <c r="A12" s="1" t="s">
        <v>15</v>
      </c>
      <c r="B12" s="2">
        <v>11</v>
      </c>
      <c r="C12" s="1" t="s">
        <v>16</v>
      </c>
      <c r="D12" s="1" t="s">
        <v>17</v>
      </c>
      <c r="E12" s="1" t="s">
        <v>18</v>
      </c>
      <c r="F12" s="1">
        <v>1</v>
      </c>
      <c r="G12" s="1" t="s">
        <v>27</v>
      </c>
      <c r="H12" s="1" t="s">
        <v>28</v>
      </c>
      <c r="I12" s="1">
        <v>50</v>
      </c>
      <c r="J12" s="1" t="s">
        <v>21</v>
      </c>
      <c r="K12" s="1">
        <f>L12</f>
        <v>1.335</v>
      </c>
      <c r="L12" s="1">
        <f>+I12*2.67%</f>
        <v>1.335</v>
      </c>
      <c r="M12" s="1">
        <v>44.99</v>
      </c>
      <c r="N12" s="1">
        <v>0</v>
      </c>
      <c r="O12" s="1">
        <v>0</v>
      </c>
    </row>
    <row r="13" spans="1:15" hidden="1" x14ac:dyDescent="0.35">
      <c r="A13" s="1" t="s">
        <v>15</v>
      </c>
      <c r="B13" s="2">
        <v>11</v>
      </c>
      <c r="C13" s="1" t="s">
        <v>16</v>
      </c>
      <c r="D13" s="1" t="s">
        <v>17</v>
      </c>
      <c r="E13" s="1" t="s">
        <v>18</v>
      </c>
      <c r="F13" s="1">
        <v>1</v>
      </c>
      <c r="G13" s="1" t="s">
        <v>27</v>
      </c>
      <c r="H13" s="1" t="s">
        <v>29</v>
      </c>
      <c r="I13" s="1" t="s">
        <v>21</v>
      </c>
      <c r="J13" s="1">
        <v>1</v>
      </c>
      <c r="K13" s="1" t="s">
        <v>21</v>
      </c>
      <c r="L13" s="1" t="s">
        <v>21</v>
      </c>
      <c r="M13" s="1">
        <v>39.74</v>
      </c>
      <c r="N13" s="1">
        <v>0</v>
      </c>
      <c r="O13" s="1">
        <v>0</v>
      </c>
    </row>
    <row r="14" spans="1:15" hidden="1" x14ac:dyDescent="0.35">
      <c r="A14" s="1" t="s">
        <v>15</v>
      </c>
      <c r="B14" s="2">
        <v>11</v>
      </c>
      <c r="C14" s="1" t="s">
        <v>16</v>
      </c>
      <c r="D14" s="1" t="s">
        <v>17</v>
      </c>
      <c r="E14" s="1" t="s">
        <v>18</v>
      </c>
      <c r="F14" s="1">
        <v>1</v>
      </c>
      <c r="G14" s="1" t="s">
        <v>27</v>
      </c>
      <c r="H14" s="1" t="s">
        <v>30</v>
      </c>
      <c r="I14" s="1" t="s">
        <v>21</v>
      </c>
      <c r="J14" s="1">
        <v>1</v>
      </c>
      <c r="K14" s="1" t="s">
        <v>21</v>
      </c>
      <c r="L14" s="1" t="s">
        <v>21</v>
      </c>
      <c r="M14" s="1">
        <v>0</v>
      </c>
      <c r="N14" s="1">
        <v>0</v>
      </c>
      <c r="O14" s="1">
        <v>30</v>
      </c>
    </row>
    <row r="15" spans="1:15" hidden="1" x14ac:dyDescent="0.35">
      <c r="A15" s="1" t="s">
        <v>15</v>
      </c>
      <c r="B15" s="2">
        <v>19</v>
      </c>
      <c r="C15" s="1" t="s">
        <v>16</v>
      </c>
      <c r="D15" s="1" t="s">
        <v>17</v>
      </c>
      <c r="E15" s="1" t="s">
        <v>31</v>
      </c>
      <c r="F15" s="1">
        <v>2</v>
      </c>
      <c r="G15" s="1" t="s">
        <v>19</v>
      </c>
      <c r="H15" s="1" t="s">
        <v>20</v>
      </c>
      <c r="I15" s="1">
        <v>50</v>
      </c>
      <c r="J15" s="1" t="s">
        <v>21</v>
      </c>
      <c r="K15" s="1">
        <v>9</v>
      </c>
      <c r="L15" s="1">
        <v>3.5</v>
      </c>
      <c r="M15" s="1">
        <v>0</v>
      </c>
      <c r="N15" s="1">
        <v>0</v>
      </c>
      <c r="O15" s="1">
        <v>24.96</v>
      </c>
    </row>
    <row r="16" spans="1:15" hidden="1" x14ac:dyDescent="0.35">
      <c r="A16" s="1" t="s">
        <v>15</v>
      </c>
      <c r="B16" s="2">
        <v>19</v>
      </c>
      <c r="C16" s="1" t="s">
        <v>16</v>
      </c>
      <c r="D16" s="1" t="s">
        <v>17</v>
      </c>
      <c r="E16" s="1" t="s">
        <v>31</v>
      </c>
      <c r="F16" s="1">
        <v>2</v>
      </c>
      <c r="G16" s="1" t="s">
        <v>19</v>
      </c>
      <c r="H16" s="1" t="s">
        <v>32</v>
      </c>
      <c r="I16" s="1">
        <v>78.2</v>
      </c>
      <c r="J16" s="1" t="s">
        <v>21</v>
      </c>
      <c r="K16" s="1">
        <v>35.97</v>
      </c>
      <c r="L16" s="1">
        <v>0</v>
      </c>
      <c r="M16" s="1">
        <v>0</v>
      </c>
      <c r="N16" s="1">
        <v>0</v>
      </c>
      <c r="O16" s="1">
        <v>30</v>
      </c>
    </row>
    <row r="17" spans="1:15" hidden="1" x14ac:dyDescent="0.35">
      <c r="A17" s="1" t="s">
        <v>15</v>
      </c>
      <c r="B17" s="2">
        <v>19</v>
      </c>
      <c r="C17" s="1" t="s">
        <v>16</v>
      </c>
      <c r="D17" s="1" t="s">
        <v>17</v>
      </c>
      <c r="E17" s="1" t="s">
        <v>31</v>
      </c>
      <c r="F17" s="1">
        <v>2</v>
      </c>
      <c r="G17" s="1" t="s">
        <v>23</v>
      </c>
      <c r="H17" s="1" t="s">
        <v>24</v>
      </c>
      <c r="I17" s="1">
        <v>88</v>
      </c>
      <c r="J17" s="1" t="s">
        <v>21</v>
      </c>
      <c r="K17" s="1">
        <f>+I17*46%</f>
        <v>40.480000000000004</v>
      </c>
      <c r="L17" s="1">
        <v>0</v>
      </c>
      <c r="M17" s="1">
        <v>0</v>
      </c>
      <c r="N17" s="1">
        <v>0</v>
      </c>
      <c r="O17" s="1">
        <v>0.5</v>
      </c>
    </row>
    <row r="18" spans="1:15" hidden="1" x14ac:dyDescent="0.35">
      <c r="A18" s="1" t="s">
        <v>15</v>
      </c>
      <c r="B18" s="2">
        <v>19</v>
      </c>
      <c r="C18" s="1" t="s">
        <v>16</v>
      </c>
      <c r="D18" s="1" t="s">
        <v>17</v>
      </c>
      <c r="E18" s="1" t="s">
        <v>31</v>
      </c>
      <c r="F18" s="1">
        <v>2</v>
      </c>
      <c r="G18" s="1" t="s">
        <v>23</v>
      </c>
      <c r="H18" s="1" t="s">
        <v>26</v>
      </c>
      <c r="I18" s="1">
        <v>50</v>
      </c>
      <c r="J18" s="1" t="s">
        <v>21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</row>
    <row r="19" spans="1:15" hidden="1" x14ac:dyDescent="0.35">
      <c r="A19" s="1" t="s">
        <v>15</v>
      </c>
      <c r="B19" s="2">
        <v>19</v>
      </c>
      <c r="C19" s="1" t="s">
        <v>16</v>
      </c>
      <c r="D19" s="1" t="s">
        <v>17</v>
      </c>
      <c r="E19" s="1" t="s">
        <v>31</v>
      </c>
      <c r="F19" s="1">
        <v>2</v>
      </c>
      <c r="G19" s="1" t="s">
        <v>27</v>
      </c>
      <c r="H19" s="1" t="s">
        <v>24</v>
      </c>
      <c r="I19" s="1">
        <v>79.2</v>
      </c>
      <c r="J19" s="1" t="s">
        <v>21</v>
      </c>
      <c r="K19" s="1">
        <v>31.68</v>
      </c>
      <c r="L19" s="1">
        <v>0</v>
      </c>
      <c r="M19" s="1">
        <v>0</v>
      </c>
      <c r="N19" s="1">
        <v>0</v>
      </c>
      <c r="O19" s="1">
        <v>0</v>
      </c>
    </row>
    <row r="20" spans="1:15" hidden="1" x14ac:dyDescent="0.35">
      <c r="A20" s="1" t="s">
        <v>15</v>
      </c>
      <c r="B20" s="2">
        <v>19</v>
      </c>
      <c r="C20" s="1" t="s">
        <v>16</v>
      </c>
      <c r="D20" s="1" t="s">
        <v>17</v>
      </c>
      <c r="E20" s="1" t="s">
        <v>31</v>
      </c>
      <c r="F20" s="1">
        <v>2</v>
      </c>
      <c r="G20" s="1" t="s">
        <v>27</v>
      </c>
      <c r="H20" s="1" t="s">
        <v>26</v>
      </c>
      <c r="I20" s="1">
        <v>50</v>
      </c>
      <c r="J20" s="1" t="s">
        <v>21</v>
      </c>
      <c r="K20" s="1">
        <v>0</v>
      </c>
      <c r="L20" s="1">
        <v>0</v>
      </c>
      <c r="M20" s="1">
        <v>0</v>
      </c>
      <c r="N20" s="1">
        <v>0</v>
      </c>
      <c r="O20" s="1">
        <v>30</v>
      </c>
    </row>
    <row r="21" spans="1:15" hidden="1" x14ac:dyDescent="0.35">
      <c r="A21" s="1" t="s">
        <v>15</v>
      </c>
      <c r="B21" s="2">
        <v>19</v>
      </c>
      <c r="C21" s="1" t="s">
        <v>16</v>
      </c>
      <c r="D21" s="1" t="s">
        <v>17</v>
      </c>
      <c r="E21" s="1" t="s">
        <v>31</v>
      </c>
      <c r="F21" s="1">
        <v>2</v>
      </c>
      <c r="G21" s="1" t="s">
        <v>27</v>
      </c>
      <c r="H21" s="1" t="s">
        <v>28</v>
      </c>
      <c r="I21" s="1">
        <v>50</v>
      </c>
      <c r="J21" s="1" t="s">
        <v>21</v>
      </c>
      <c r="K21" s="1">
        <f>L21</f>
        <v>1.335</v>
      </c>
      <c r="L21" s="1">
        <f>+I21*2.67%</f>
        <v>1.335</v>
      </c>
      <c r="M21" s="1">
        <v>53.96</v>
      </c>
      <c r="N21" s="1">
        <v>0</v>
      </c>
      <c r="O21" s="1">
        <v>0</v>
      </c>
    </row>
    <row r="22" spans="1:15" hidden="1" x14ac:dyDescent="0.35">
      <c r="A22" s="1" t="s">
        <v>15</v>
      </c>
      <c r="B22" s="2">
        <v>31</v>
      </c>
      <c r="C22" s="1" t="s">
        <v>16</v>
      </c>
      <c r="D22" s="1" t="s">
        <v>17</v>
      </c>
      <c r="E22" s="1" t="s">
        <v>33</v>
      </c>
      <c r="F22" s="1">
        <v>3</v>
      </c>
      <c r="G22" s="1" t="s">
        <v>19</v>
      </c>
      <c r="H22" s="1" t="s">
        <v>32</v>
      </c>
      <c r="I22" s="1">
        <v>75</v>
      </c>
      <c r="J22" s="1" t="s">
        <v>21</v>
      </c>
      <c r="K22" s="1">
        <v>34.5</v>
      </c>
      <c r="L22" s="1">
        <v>0</v>
      </c>
      <c r="M22" s="1">
        <v>0</v>
      </c>
      <c r="N22" s="1">
        <v>0</v>
      </c>
      <c r="O22" s="1">
        <v>30</v>
      </c>
    </row>
    <row r="23" spans="1:15" hidden="1" x14ac:dyDescent="0.35">
      <c r="A23" s="1" t="s">
        <v>15</v>
      </c>
      <c r="B23" s="2">
        <v>31</v>
      </c>
      <c r="C23" s="1" t="s">
        <v>16</v>
      </c>
      <c r="D23" s="1" t="s">
        <v>17</v>
      </c>
      <c r="E23" s="1" t="s">
        <v>33</v>
      </c>
      <c r="F23" s="1">
        <v>3</v>
      </c>
      <c r="G23" s="1" t="s">
        <v>19</v>
      </c>
      <c r="H23" s="1" t="s">
        <v>34</v>
      </c>
      <c r="I23" s="1">
        <v>50</v>
      </c>
      <c r="J23" s="1" t="s">
        <v>21</v>
      </c>
      <c r="K23" s="1">
        <v>0</v>
      </c>
      <c r="L23" s="1">
        <v>0</v>
      </c>
      <c r="M23" s="1">
        <v>22</v>
      </c>
      <c r="N23" s="1">
        <v>36</v>
      </c>
      <c r="O23" s="1">
        <v>36</v>
      </c>
    </row>
    <row r="24" spans="1:15" hidden="1" x14ac:dyDescent="0.35">
      <c r="A24" s="1" t="s">
        <v>15</v>
      </c>
      <c r="B24" s="2">
        <v>31</v>
      </c>
      <c r="C24" s="1" t="s">
        <v>16</v>
      </c>
      <c r="D24" s="1" t="s">
        <v>17</v>
      </c>
      <c r="E24" s="1" t="s">
        <v>33</v>
      </c>
      <c r="F24" s="1">
        <v>3</v>
      </c>
      <c r="G24" s="1" t="s">
        <v>19</v>
      </c>
      <c r="H24" s="1" t="s">
        <v>35</v>
      </c>
      <c r="I24" s="1">
        <v>50</v>
      </c>
      <c r="J24" s="1" t="s">
        <v>21</v>
      </c>
      <c r="K24" s="1">
        <v>10.5</v>
      </c>
      <c r="L24" s="1">
        <v>10.5</v>
      </c>
      <c r="M24" s="1">
        <v>0</v>
      </c>
      <c r="N24" s="1">
        <v>1.5</v>
      </c>
      <c r="O24" s="1">
        <v>0</v>
      </c>
    </row>
    <row r="25" spans="1:15" hidden="1" x14ac:dyDescent="0.35">
      <c r="A25" s="1" t="s">
        <v>15</v>
      </c>
      <c r="B25" s="2">
        <v>31</v>
      </c>
      <c r="C25" s="1" t="s">
        <v>16</v>
      </c>
      <c r="D25" s="1" t="s">
        <v>17</v>
      </c>
      <c r="E25" s="1" t="s">
        <v>33</v>
      </c>
      <c r="F25" s="1">
        <v>3</v>
      </c>
      <c r="G25" s="1" t="s">
        <v>23</v>
      </c>
      <c r="H25" s="1" t="s">
        <v>24</v>
      </c>
      <c r="I25" s="1">
        <v>100</v>
      </c>
      <c r="J25" s="1" t="s">
        <v>21</v>
      </c>
      <c r="K25" s="1">
        <v>40</v>
      </c>
      <c r="L25" s="1">
        <v>0</v>
      </c>
      <c r="M25" s="1">
        <v>5.5</v>
      </c>
      <c r="N25" s="1">
        <v>9</v>
      </c>
      <c r="O25" s="1">
        <v>9</v>
      </c>
    </row>
    <row r="26" spans="1:15" hidden="1" x14ac:dyDescent="0.35">
      <c r="A26" s="1" t="s">
        <v>15</v>
      </c>
      <c r="B26" s="2">
        <v>31</v>
      </c>
      <c r="C26" s="1" t="s">
        <v>16</v>
      </c>
      <c r="D26" s="1" t="s">
        <v>17</v>
      </c>
      <c r="E26" s="1" t="s">
        <v>33</v>
      </c>
      <c r="F26" s="1">
        <v>3</v>
      </c>
      <c r="G26" s="1" t="s">
        <v>23</v>
      </c>
      <c r="H26" s="1" t="s">
        <v>26</v>
      </c>
      <c r="I26" s="1">
        <v>50</v>
      </c>
      <c r="J26" s="1" t="s">
        <v>21</v>
      </c>
      <c r="K26" s="1">
        <v>0</v>
      </c>
      <c r="L26" s="1">
        <v>0</v>
      </c>
      <c r="M26" s="1">
        <v>34.5</v>
      </c>
      <c r="N26" s="1">
        <v>0</v>
      </c>
      <c r="O26" s="1">
        <v>0</v>
      </c>
    </row>
    <row r="27" spans="1:15" hidden="1" x14ac:dyDescent="0.35">
      <c r="A27" s="1" t="s">
        <v>15</v>
      </c>
      <c r="B27" s="2">
        <v>31</v>
      </c>
      <c r="C27" s="1" t="s">
        <v>16</v>
      </c>
      <c r="D27" s="1" t="s">
        <v>17</v>
      </c>
      <c r="E27" s="1" t="s">
        <v>33</v>
      </c>
      <c r="F27" s="1">
        <v>3</v>
      </c>
      <c r="G27" s="1" t="s">
        <v>27</v>
      </c>
      <c r="H27" s="1" t="s">
        <v>24</v>
      </c>
      <c r="I27" s="1">
        <v>90</v>
      </c>
      <c r="J27" s="1" t="s">
        <v>21</v>
      </c>
      <c r="K27" s="1">
        <v>36</v>
      </c>
      <c r="L27" s="1">
        <v>0</v>
      </c>
      <c r="M27" s="1">
        <v>0</v>
      </c>
      <c r="N27" s="1">
        <v>0</v>
      </c>
      <c r="O27" s="1">
        <v>0.5</v>
      </c>
    </row>
    <row r="28" spans="1:15" hidden="1" x14ac:dyDescent="0.35">
      <c r="A28" s="1" t="s">
        <v>15</v>
      </c>
      <c r="B28" s="2">
        <v>31</v>
      </c>
      <c r="C28" s="1" t="s">
        <v>16</v>
      </c>
      <c r="D28" s="1" t="s">
        <v>17</v>
      </c>
      <c r="E28" s="1" t="s">
        <v>33</v>
      </c>
      <c r="F28" s="1">
        <v>3</v>
      </c>
      <c r="G28" s="1" t="s">
        <v>27</v>
      </c>
      <c r="H28" s="1" t="s">
        <v>26</v>
      </c>
      <c r="I28" s="1">
        <v>50</v>
      </c>
      <c r="J28" s="1" t="s">
        <v>21</v>
      </c>
      <c r="K28" s="1">
        <v>0</v>
      </c>
      <c r="L28" s="1">
        <v>0</v>
      </c>
      <c r="M28" s="1">
        <v>44.99</v>
      </c>
      <c r="N28" s="1">
        <v>0</v>
      </c>
      <c r="O28" s="1">
        <v>0</v>
      </c>
    </row>
    <row r="29" spans="1:15" hidden="1" x14ac:dyDescent="0.35">
      <c r="A29" s="1" t="s">
        <v>15</v>
      </c>
      <c r="B29" s="2">
        <v>48</v>
      </c>
      <c r="C29" s="1" t="s">
        <v>16</v>
      </c>
      <c r="D29" s="1" t="s">
        <v>17</v>
      </c>
      <c r="E29" s="1" t="s">
        <v>36</v>
      </c>
      <c r="F29" s="1">
        <v>4</v>
      </c>
      <c r="G29" s="1" t="s">
        <v>19</v>
      </c>
      <c r="H29" s="1" t="s">
        <v>32</v>
      </c>
      <c r="I29" s="1">
        <v>58.7</v>
      </c>
      <c r="J29" s="1" t="s">
        <v>21</v>
      </c>
      <c r="K29" s="1">
        <v>27</v>
      </c>
      <c r="L29" s="1">
        <v>0</v>
      </c>
      <c r="M29" s="1">
        <v>0</v>
      </c>
      <c r="N29" s="1">
        <v>0</v>
      </c>
      <c r="O29" s="1">
        <v>30</v>
      </c>
    </row>
    <row r="30" spans="1:15" hidden="1" x14ac:dyDescent="0.35">
      <c r="A30" s="1" t="s">
        <v>15</v>
      </c>
      <c r="B30" s="2">
        <v>48</v>
      </c>
      <c r="C30" s="1" t="s">
        <v>16</v>
      </c>
      <c r="D30" s="1" t="s">
        <v>17</v>
      </c>
      <c r="E30" s="1" t="s">
        <v>36</v>
      </c>
      <c r="F30" s="1">
        <v>4</v>
      </c>
      <c r="G30" s="1" t="s">
        <v>19</v>
      </c>
      <c r="H30" s="1" t="s">
        <v>34</v>
      </c>
      <c r="I30" s="1">
        <v>41.6</v>
      </c>
      <c r="J30" s="1" t="s">
        <v>21</v>
      </c>
      <c r="K30" s="1">
        <v>0</v>
      </c>
      <c r="L30" s="1">
        <v>0</v>
      </c>
      <c r="M30" s="1">
        <v>0</v>
      </c>
      <c r="N30" s="1">
        <v>0</v>
      </c>
      <c r="O30" s="1">
        <v>0.5</v>
      </c>
    </row>
    <row r="31" spans="1:15" hidden="1" x14ac:dyDescent="0.35">
      <c r="A31" s="1" t="s">
        <v>15</v>
      </c>
      <c r="B31" s="2">
        <v>48</v>
      </c>
      <c r="C31" s="1" t="s">
        <v>16</v>
      </c>
      <c r="D31" s="1" t="s">
        <v>17</v>
      </c>
      <c r="E31" s="1" t="s">
        <v>36</v>
      </c>
      <c r="F31" s="1">
        <v>4</v>
      </c>
      <c r="G31" s="1" t="s">
        <v>23</v>
      </c>
      <c r="H31" s="1" t="s">
        <v>24</v>
      </c>
      <c r="I31" s="1">
        <v>80</v>
      </c>
      <c r="J31" s="1" t="s">
        <v>21</v>
      </c>
      <c r="K31" s="1">
        <v>32</v>
      </c>
      <c r="L31" s="1">
        <v>0</v>
      </c>
      <c r="M31" s="1">
        <v>26.96</v>
      </c>
      <c r="N31" s="1">
        <v>0</v>
      </c>
      <c r="O31" s="1">
        <v>0</v>
      </c>
    </row>
    <row r="32" spans="1:15" hidden="1" x14ac:dyDescent="0.35">
      <c r="A32" s="1" t="s">
        <v>15</v>
      </c>
      <c r="B32" s="2">
        <v>48</v>
      </c>
      <c r="C32" s="1" t="s">
        <v>16</v>
      </c>
      <c r="D32" s="1" t="s">
        <v>17</v>
      </c>
      <c r="E32" s="1" t="s">
        <v>36</v>
      </c>
      <c r="F32" s="1">
        <v>4</v>
      </c>
      <c r="G32" s="1" t="s">
        <v>23</v>
      </c>
      <c r="H32" s="1" t="s">
        <v>26</v>
      </c>
      <c r="I32" s="1">
        <v>50</v>
      </c>
      <c r="J32" s="1" t="s">
        <v>21</v>
      </c>
      <c r="K32" s="1">
        <v>0</v>
      </c>
      <c r="L32" s="1">
        <v>0</v>
      </c>
      <c r="M32" s="1">
        <v>0</v>
      </c>
      <c r="N32" s="1">
        <v>0</v>
      </c>
      <c r="O32" s="1">
        <v>24.96</v>
      </c>
    </row>
    <row r="33" spans="1:15" hidden="1" x14ac:dyDescent="0.35">
      <c r="A33" s="1" t="s">
        <v>15</v>
      </c>
      <c r="B33" s="2">
        <v>48</v>
      </c>
      <c r="C33" s="1" t="s">
        <v>16</v>
      </c>
      <c r="D33" s="1" t="s">
        <v>17</v>
      </c>
      <c r="E33" s="1" t="s">
        <v>36</v>
      </c>
      <c r="F33" s="1">
        <v>4</v>
      </c>
      <c r="G33" s="1" t="s">
        <v>27</v>
      </c>
      <c r="H33" s="1" t="s">
        <v>24</v>
      </c>
      <c r="I33" s="1">
        <v>72</v>
      </c>
      <c r="J33" s="1" t="s">
        <v>21</v>
      </c>
      <c r="K33" s="1">
        <v>28.8</v>
      </c>
      <c r="L33" s="1">
        <v>0</v>
      </c>
      <c r="M33" s="1">
        <v>17.989999999999998</v>
      </c>
      <c r="N33" s="1">
        <v>0</v>
      </c>
      <c r="O33" s="1">
        <v>0</v>
      </c>
    </row>
    <row r="34" spans="1:15" hidden="1" x14ac:dyDescent="0.35">
      <c r="A34" s="1" t="s">
        <v>15</v>
      </c>
      <c r="B34" s="2">
        <v>48</v>
      </c>
      <c r="C34" s="1" t="s">
        <v>16</v>
      </c>
      <c r="D34" s="1" t="s">
        <v>17</v>
      </c>
      <c r="E34" s="1" t="s">
        <v>36</v>
      </c>
      <c r="F34" s="1">
        <v>4</v>
      </c>
      <c r="G34" s="1" t="s">
        <v>27</v>
      </c>
      <c r="H34" s="1" t="s">
        <v>26</v>
      </c>
      <c r="I34" s="1">
        <v>50</v>
      </c>
      <c r="J34" s="1" t="s">
        <v>21</v>
      </c>
      <c r="K34" s="1">
        <v>0</v>
      </c>
      <c r="L34" s="1">
        <v>0</v>
      </c>
      <c r="M34" s="1">
        <v>23</v>
      </c>
      <c r="N34" s="1">
        <v>0</v>
      </c>
      <c r="O34" s="1">
        <v>0</v>
      </c>
    </row>
    <row r="35" spans="1:15" hidden="1" x14ac:dyDescent="0.35">
      <c r="A35" s="1" t="s">
        <v>15</v>
      </c>
      <c r="B35" s="2">
        <v>66</v>
      </c>
      <c r="C35" s="1" t="s">
        <v>16</v>
      </c>
      <c r="D35" s="1" t="s">
        <v>17</v>
      </c>
      <c r="E35" s="1" t="s">
        <v>37</v>
      </c>
      <c r="F35" s="1">
        <v>5</v>
      </c>
      <c r="G35" s="1" t="s">
        <v>19</v>
      </c>
      <c r="H35" s="1" t="s">
        <v>32</v>
      </c>
      <c r="I35" s="1">
        <v>58.6</v>
      </c>
      <c r="J35" s="1" t="s">
        <v>21</v>
      </c>
      <c r="K35" s="1">
        <v>26.96</v>
      </c>
      <c r="L35" s="1">
        <v>0</v>
      </c>
      <c r="M35" s="1">
        <v>0</v>
      </c>
      <c r="N35" s="1">
        <v>0.75</v>
      </c>
      <c r="O35" s="1">
        <v>0</v>
      </c>
    </row>
    <row r="36" spans="1:15" hidden="1" x14ac:dyDescent="0.35">
      <c r="A36" s="1" t="s">
        <v>15</v>
      </c>
      <c r="B36" s="2">
        <v>66</v>
      </c>
      <c r="C36" s="1" t="s">
        <v>16</v>
      </c>
      <c r="D36" s="1" t="s">
        <v>17</v>
      </c>
      <c r="E36" s="1" t="s">
        <v>37</v>
      </c>
      <c r="F36" s="1">
        <v>5</v>
      </c>
      <c r="G36" s="1" t="s">
        <v>23</v>
      </c>
      <c r="H36" s="1" t="s">
        <v>24</v>
      </c>
      <c r="I36" s="1">
        <v>60</v>
      </c>
      <c r="J36" s="1" t="s">
        <v>21</v>
      </c>
      <c r="K36" s="1">
        <v>24</v>
      </c>
      <c r="L36" s="1">
        <v>0</v>
      </c>
      <c r="M36" s="1">
        <v>0</v>
      </c>
      <c r="N36" s="1">
        <v>20</v>
      </c>
      <c r="O36" s="1">
        <v>0</v>
      </c>
    </row>
    <row r="37" spans="1:15" hidden="1" x14ac:dyDescent="0.35">
      <c r="A37" s="1" t="s">
        <v>15</v>
      </c>
      <c r="B37" s="2">
        <v>66</v>
      </c>
      <c r="C37" s="1" t="s">
        <v>16</v>
      </c>
      <c r="D37" s="1" t="s">
        <v>17</v>
      </c>
      <c r="E37" s="1" t="s">
        <v>37</v>
      </c>
      <c r="F37" s="1">
        <v>5</v>
      </c>
      <c r="G37" s="1" t="s">
        <v>27</v>
      </c>
      <c r="H37" s="1" t="s">
        <v>24</v>
      </c>
      <c r="I37" s="1">
        <v>54</v>
      </c>
      <c r="J37" s="1" t="s">
        <v>21</v>
      </c>
      <c r="K37" s="1">
        <v>21.6</v>
      </c>
      <c r="L37" s="1">
        <v>0</v>
      </c>
      <c r="M37" s="1">
        <v>0</v>
      </c>
      <c r="N37" s="1">
        <v>0</v>
      </c>
      <c r="O37" s="1">
        <v>20</v>
      </c>
    </row>
    <row r="38" spans="1:15" hidden="1" x14ac:dyDescent="0.35">
      <c r="A38" s="1" t="s">
        <v>38</v>
      </c>
      <c r="B38" s="2">
        <f>+[2]ARROZ_USDA!$K$8-[2]ARROZ_USDA!$K$6</f>
        <v>11</v>
      </c>
      <c r="C38" s="1" t="s">
        <v>16</v>
      </c>
      <c r="D38" s="1" t="s">
        <v>17</v>
      </c>
      <c r="E38" s="1" t="s">
        <v>18</v>
      </c>
      <c r="F38" s="1">
        <v>1</v>
      </c>
      <c r="G38" s="1" t="s">
        <v>19</v>
      </c>
      <c r="H38" s="1" t="s">
        <v>20</v>
      </c>
      <c r="I38" s="1">
        <v>55.5</v>
      </c>
      <c r="J38" s="1" t="s">
        <v>21</v>
      </c>
      <c r="K38" s="1">
        <v>9.99</v>
      </c>
      <c r="L38" s="1">
        <v>3.88</v>
      </c>
      <c r="M38" s="1">
        <v>40.480000000000004</v>
      </c>
      <c r="N38" s="1">
        <v>0</v>
      </c>
      <c r="O38" s="1">
        <v>0</v>
      </c>
    </row>
    <row r="39" spans="1:15" hidden="1" x14ac:dyDescent="0.35">
      <c r="A39" s="1" t="s">
        <v>38</v>
      </c>
      <c r="B39" s="2">
        <f>+[2]ARROZ_USDA!$K$8-[2]ARROZ_USDA!$K$6</f>
        <v>11</v>
      </c>
      <c r="C39" s="1" t="s">
        <v>16</v>
      </c>
      <c r="D39" s="1" t="s">
        <v>17</v>
      </c>
      <c r="E39" s="1" t="s">
        <v>18</v>
      </c>
      <c r="F39" s="1">
        <v>1</v>
      </c>
      <c r="G39" s="1" t="s">
        <v>19</v>
      </c>
      <c r="H39" s="1" t="s">
        <v>22</v>
      </c>
      <c r="I39" s="1">
        <v>50</v>
      </c>
      <c r="J39" s="1" t="s">
        <v>21</v>
      </c>
      <c r="K39" s="1">
        <v>0</v>
      </c>
      <c r="L39" s="1">
        <v>0</v>
      </c>
      <c r="M39" s="1">
        <v>0</v>
      </c>
      <c r="N39" s="1">
        <v>0</v>
      </c>
      <c r="O39" s="1">
        <v>20</v>
      </c>
    </row>
    <row r="40" spans="1:15" hidden="1" x14ac:dyDescent="0.35">
      <c r="A40" s="1" t="s">
        <v>38</v>
      </c>
      <c r="B40" s="2">
        <f>+[2]ARROZ_USDA!$K$8-[2]ARROZ_USDA!$K$6</f>
        <v>11</v>
      </c>
      <c r="C40" s="1" t="s">
        <v>16</v>
      </c>
      <c r="D40" s="1" t="s">
        <v>17</v>
      </c>
      <c r="E40" s="1" t="s">
        <v>18</v>
      </c>
      <c r="F40" s="1">
        <v>1</v>
      </c>
      <c r="G40" s="1" t="s">
        <v>19</v>
      </c>
      <c r="H40" s="1" t="s">
        <v>32</v>
      </c>
      <c r="I40" s="1">
        <v>56.5</v>
      </c>
      <c r="J40" s="1" t="s">
        <v>21</v>
      </c>
      <c r="K40" s="1">
        <v>25.99</v>
      </c>
      <c r="L40" s="1">
        <v>0</v>
      </c>
      <c r="M40" s="1">
        <v>40</v>
      </c>
      <c r="N40" s="1">
        <v>0</v>
      </c>
      <c r="O40" s="1">
        <v>0</v>
      </c>
    </row>
    <row r="41" spans="1:15" hidden="1" x14ac:dyDescent="0.35">
      <c r="A41" s="1" t="s">
        <v>38</v>
      </c>
      <c r="B41" s="2">
        <f>+[2]ARROZ_USDA!$K$8-[2]ARROZ_USDA!$K$6</f>
        <v>11</v>
      </c>
      <c r="C41" s="1" t="s">
        <v>16</v>
      </c>
      <c r="D41" s="1" t="s">
        <v>17</v>
      </c>
      <c r="E41" s="1" t="s">
        <v>18</v>
      </c>
      <c r="F41" s="1">
        <v>1</v>
      </c>
      <c r="G41" s="1" t="s">
        <v>23</v>
      </c>
      <c r="H41" s="1" t="s">
        <v>24</v>
      </c>
      <c r="I41" s="1">
        <v>79</v>
      </c>
      <c r="J41" s="1" t="s">
        <v>21</v>
      </c>
      <c r="K41" s="1">
        <v>31.6</v>
      </c>
      <c r="L41" s="1">
        <v>0</v>
      </c>
      <c r="M41" s="1">
        <v>0</v>
      </c>
      <c r="N41" s="1">
        <v>0</v>
      </c>
      <c r="O41" s="1">
        <v>20</v>
      </c>
    </row>
    <row r="42" spans="1:15" hidden="1" x14ac:dyDescent="0.35">
      <c r="A42" s="1" t="s">
        <v>38</v>
      </c>
      <c r="B42" s="2">
        <f>+[2]ARROZ_USDA!$K$8-[2]ARROZ_USDA!$K$6</f>
        <v>11</v>
      </c>
      <c r="C42" s="1" t="s">
        <v>16</v>
      </c>
      <c r="D42" s="1" t="s">
        <v>17</v>
      </c>
      <c r="E42" s="1" t="s">
        <v>18</v>
      </c>
      <c r="F42" s="1">
        <v>1</v>
      </c>
      <c r="G42" s="1" t="s">
        <v>23</v>
      </c>
      <c r="H42" s="1" t="s">
        <v>22</v>
      </c>
      <c r="I42" s="1">
        <v>50</v>
      </c>
      <c r="J42" s="1" t="s">
        <v>21</v>
      </c>
      <c r="K42" s="1">
        <v>0</v>
      </c>
      <c r="L42" s="1">
        <v>0</v>
      </c>
      <c r="M42" s="1">
        <v>32</v>
      </c>
      <c r="N42" s="1">
        <v>0</v>
      </c>
      <c r="O42" s="1">
        <v>0</v>
      </c>
    </row>
    <row r="43" spans="1:15" hidden="1" x14ac:dyDescent="0.35">
      <c r="A43" s="1" t="s">
        <v>38</v>
      </c>
      <c r="B43" s="2">
        <f>+[2]ARROZ_USDA!$K$8-[2]ARROZ_USDA!$K$6</f>
        <v>11</v>
      </c>
      <c r="C43" s="1" t="s">
        <v>16</v>
      </c>
      <c r="D43" s="1" t="s">
        <v>17</v>
      </c>
      <c r="E43" s="1" t="s">
        <v>18</v>
      </c>
      <c r="F43" s="1">
        <v>1</v>
      </c>
      <c r="G43" s="1" t="s">
        <v>23</v>
      </c>
      <c r="H43" s="1" t="s">
        <v>26</v>
      </c>
      <c r="I43" s="1">
        <v>25</v>
      </c>
      <c r="J43" s="1" t="s">
        <v>21</v>
      </c>
      <c r="K43" s="1">
        <v>0</v>
      </c>
      <c r="L43" s="1">
        <v>0</v>
      </c>
      <c r="M43" s="1">
        <v>0</v>
      </c>
      <c r="N43" s="1">
        <v>0</v>
      </c>
      <c r="O43" s="1">
        <v>20</v>
      </c>
    </row>
    <row r="44" spans="1:15" hidden="1" x14ac:dyDescent="0.35">
      <c r="A44" s="1" t="s">
        <v>38</v>
      </c>
      <c r="B44" s="2">
        <f>+[2]ARROZ_USDA!$K$8-[2]ARROZ_USDA!$K$6</f>
        <v>11</v>
      </c>
      <c r="C44" s="1" t="s">
        <v>16</v>
      </c>
      <c r="D44" s="1" t="s">
        <v>17</v>
      </c>
      <c r="E44" s="1" t="s">
        <v>18</v>
      </c>
      <c r="F44" s="1">
        <v>1</v>
      </c>
      <c r="G44" s="1" t="s">
        <v>27</v>
      </c>
      <c r="H44" s="1" t="s">
        <v>24</v>
      </c>
      <c r="I44" s="1">
        <v>72.5</v>
      </c>
      <c r="J44" s="1" t="s">
        <v>21</v>
      </c>
      <c r="K44" s="1">
        <v>29</v>
      </c>
      <c r="L44" s="1">
        <v>0</v>
      </c>
      <c r="M44" s="1">
        <v>24</v>
      </c>
      <c r="N44" s="1">
        <v>0</v>
      </c>
      <c r="O44" s="1">
        <v>0</v>
      </c>
    </row>
    <row r="45" spans="1:15" hidden="1" x14ac:dyDescent="0.35">
      <c r="A45" s="1" t="s">
        <v>38</v>
      </c>
      <c r="B45" s="2">
        <f>+[2]ARROZ_USDA!$K$8-[2]ARROZ_USDA!$K$6</f>
        <v>11</v>
      </c>
      <c r="C45" s="1" t="s">
        <v>16</v>
      </c>
      <c r="D45" s="1" t="s">
        <v>17</v>
      </c>
      <c r="E45" s="1" t="s">
        <v>18</v>
      </c>
      <c r="F45" s="1">
        <v>1</v>
      </c>
      <c r="G45" s="1" t="s">
        <v>27</v>
      </c>
      <c r="H45" s="1" t="s">
        <v>22</v>
      </c>
      <c r="I45" s="1">
        <v>50</v>
      </c>
      <c r="J45" s="1" t="s">
        <v>21</v>
      </c>
      <c r="K45" s="1">
        <v>0</v>
      </c>
      <c r="L45" s="1">
        <v>0</v>
      </c>
      <c r="M45" s="1">
        <v>31.6</v>
      </c>
      <c r="N45" s="1">
        <v>0</v>
      </c>
      <c r="O45" s="1">
        <v>0</v>
      </c>
    </row>
    <row r="46" spans="1:15" hidden="1" x14ac:dyDescent="0.35">
      <c r="A46" s="1" t="s">
        <v>38</v>
      </c>
      <c r="B46" s="2">
        <f>+[2]ARROZ_USDA!$K$8-[2]ARROZ_USDA!$K$6</f>
        <v>11</v>
      </c>
      <c r="C46" s="1" t="s">
        <v>16</v>
      </c>
      <c r="D46" s="1" t="s">
        <v>17</v>
      </c>
      <c r="E46" s="1" t="s">
        <v>18</v>
      </c>
      <c r="F46" s="1">
        <v>1</v>
      </c>
      <c r="G46" s="1" t="s">
        <v>27</v>
      </c>
      <c r="H46" s="1" t="s">
        <v>26</v>
      </c>
      <c r="I46" s="1">
        <v>25</v>
      </c>
      <c r="J46" s="1" t="s">
        <v>21</v>
      </c>
      <c r="K46" s="1">
        <v>0</v>
      </c>
      <c r="L46" s="1">
        <v>0</v>
      </c>
      <c r="M46" s="1">
        <v>0</v>
      </c>
      <c r="N46" s="1">
        <v>1.5</v>
      </c>
      <c r="O46" s="1">
        <v>0</v>
      </c>
    </row>
    <row r="47" spans="1:15" hidden="1" x14ac:dyDescent="0.35">
      <c r="A47" s="1" t="s">
        <v>38</v>
      </c>
      <c r="B47" s="2">
        <f>+[2]ARROZ_USDA!$K$8-[2]ARROZ_USDA!$K$6</f>
        <v>11</v>
      </c>
      <c r="C47" s="1" t="s">
        <v>16</v>
      </c>
      <c r="D47" s="1" t="s">
        <v>17</v>
      </c>
      <c r="E47" s="1" t="s">
        <v>18</v>
      </c>
      <c r="F47" s="1">
        <v>1</v>
      </c>
      <c r="G47" s="1" t="s">
        <v>27</v>
      </c>
      <c r="H47" s="1" t="s">
        <v>28</v>
      </c>
      <c r="I47" s="1">
        <v>75</v>
      </c>
      <c r="J47" s="1" t="s">
        <v>21</v>
      </c>
      <c r="K47" s="1">
        <f>L47</f>
        <v>2.0024999999999999</v>
      </c>
      <c r="L47" s="1">
        <f>+I47*2.67%</f>
        <v>2.0024999999999999</v>
      </c>
      <c r="M47" s="1">
        <v>0</v>
      </c>
      <c r="N47" s="1">
        <v>0</v>
      </c>
      <c r="O47" s="1">
        <v>10</v>
      </c>
    </row>
    <row r="48" spans="1:15" hidden="1" x14ac:dyDescent="0.35">
      <c r="A48" s="1" t="s">
        <v>38</v>
      </c>
      <c r="B48" s="2">
        <f>+[2]ARROZ_USDA!$K$8-[2]ARROZ_USDA!$K$6</f>
        <v>11</v>
      </c>
      <c r="C48" s="1" t="s">
        <v>16</v>
      </c>
      <c r="D48" s="1" t="s">
        <v>17</v>
      </c>
      <c r="E48" s="1" t="s">
        <v>18</v>
      </c>
      <c r="F48" s="1">
        <v>1</v>
      </c>
      <c r="G48" s="1" t="s">
        <v>27</v>
      </c>
      <c r="H48" s="1" t="s">
        <v>29</v>
      </c>
      <c r="I48" s="1" t="s">
        <v>21</v>
      </c>
      <c r="J48" s="1">
        <v>1</v>
      </c>
      <c r="K48" s="1" t="s">
        <v>21</v>
      </c>
      <c r="L48" s="1" t="s">
        <v>21</v>
      </c>
      <c r="M48" s="1">
        <v>38.479999999999997</v>
      </c>
      <c r="N48" s="1">
        <v>0</v>
      </c>
      <c r="O48" s="1">
        <v>0</v>
      </c>
    </row>
    <row r="49" spans="1:15" hidden="1" x14ac:dyDescent="0.35">
      <c r="A49" s="1" t="s">
        <v>38</v>
      </c>
      <c r="B49" s="2">
        <f>+[2]ARROZ_USDA!$K$8-[2]ARROZ_USDA!$K$6</f>
        <v>11</v>
      </c>
      <c r="C49" s="1" t="s">
        <v>16</v>
      </c>
      <c r="D49" s="1" t="s">
        <v>17</v>
      </c>
      <c r="E49" s="1" t="s">
        <v>18</v>
      </c>
      <c r="F49" s="1">
        <v>1</v>
      </c>
      <c r="G49" s="1" t="s">
        <v>27</v>
      </c>
      <c r="H49" s="1" t="s">
        <v>30</v>
      </c>
      <c r="I49" s="1" t="s">
        <v>21</v>
      </c>
      <c r="J49" s="1">
        <v>1</v>
      </c>
      <c r="K49" s="1" t="s">
        <v>21</v>
      </c>
      <c r="L49" s="1" t="s">
        <v>21</v>
      </c>
      <c r="M49" s="1">
        <v>0</v>
      </c>
      <c r="N49" s="1">
        <v>0</v>
      </c>
      <c r="O49" s="1">
        <v>0.5</v>
      </c>
    </row>
    <row r="50" spans="1:15" hidden="1" x14ac:dyDescent="0.35">
      <c r="A50" s="1" t="s">
        <v>38</v>
      </c>
      <c r="B50" s="2">
        <f>+[2]ARROZ_USDA!$K$9-[2]ARROZ_USDA!$K$6</f>
        <v>28</v>
      </c>
      <c r="C50" s="1" t="s">
        <v>16</v>
      </c>
      <c r="D50" s="1" t="s">
        <v>17</v>
      </c>
      <c r="E50" s="1" t="s">
        <v>31</v>
      </c>
      <c r="F50" s="1">
        <v>2</v>
      </c>
      <c r="G50" s="1" t="s">
        <v>19</v>
      </c>
      <c r="H50" s="1" t="s">
        <v>32</v>
      </c>
      <c r="I50" s="1">
        <v>97.8</v>
      </c>
      <c r="J50" s="1" t="s">
        <v>21</v>
      </c>
      <c r="K50" s="1">
        <v>44.99</v>
      </c>
      <c r="L50" s="1">
        <v>0</v>
      </c>
      <c r="M50" s="1">
        <v>0</v>
      </c>
      <c r="N50" s="1">
        <v>0</v>
      </c>
      <c r="O50" s="1">
        <v>16</v>
      </c>
    </row>
    <row r="51" spans="1:15" hidden="1" x14ac:dyDescent="0.35">
      <c r="A51" s="1" t="s">
        <v>38</v>
      </c>
      <c r="B51" s="2">
        <f>+[2]ARROZ_USDA!$K$9-[2]ARROZ_USDA!$K$6</f>
        <v>28</v>
      </c>
      <c r="C51" s="1" t="s">
        <v>16</v>
      </c>
      <c r="D51" s="1" t="s">
        <v>17</v>
      </c>
      <c r="E51" s="1" t="s">
        <v>31</v>
      </c>
      <c r="F51" s="1">
        <v>2</v>
      </c>
      <c r="G51" s="1" t="s">
        <v>19</v>
      </c>
      <c r="H51" s="1" t="s">
        <v>34</v>
      </c>
      <c r="I51" s="1">
        <v>50</v>
      </c>
      <c r="J51" s="1" t="s">
        <v>21</v>
      </c>
      <c r="K51" s="1">
        <v>0</v>
      </c>
      <c r="L51" s="1">
        <v>0</v>
      </c>
      <c r="M51" s="1">
        <v>43.72</v>
      </c>
      <c r="N51" s="1">
        <v>0</v>
      </c>
      <c r="O51" s="1">
        <v>0</v>
      </c>
    </row>
    <row r="52" spans="1:15" hidden="1" x14ac:dyDescent="0.35">
      <c r="A52" s="1" t="s">
        <v>38</v>
      </c>
      <c r="B52" s="2">
        <f>+[2]ARROZ_USDA!$K$9-[2]ARROZ_USDA!$K$6</f>
        <v>28</v>
      </c>
      <c r="C52" s="1" t="s">
        <v>16</v>
      </c>
      <c r="D52" s="1" t="s">
        <v>17</v>
      </c>
      <c r="E52" s="1" t="s">
        <v>31</v>
      </c>
      <c r="F52" s="1">
        <v>2</v>
      </c>
      <c r="G52" s="1" t="s">
        <v>19</v>
      </c>
      <c r="H52" s="1" t="s">
        <v>39</v>
      </c>
      <c r="I52" s="1">
        <v>25</v>
      </c>
      <c r="J52" s="1" t="s">
        <v>21</v>
      </c>
      <c r="K52" s="1">
        <v>0</v>
      </c>
      <c r="L52" s="1">
        <v>0</v>
      </c>
      <c r="M52" s="1">
        <v>0</v>
      </c>
      <c r="N52" s="1">
        <v>0</v>
      </c>
      <c r="O52" s="1">
        <v>10</v>
      </c>
    </row>
    <row r="53" spans="1:15" hidden="1" x14ac:dyDescent="0.35">
      <c r="A53" s="1" t="s">
        <v>38</v>
      </c>
      <c r="B53" s="2">
        <f>+[2]ARROZ_USDA!$K$9-[2]ARROZ_USDA!$K$6</f>
        <v>28</v>
      </c>
      <c r="C53" s="1" t="s">
        <v>16</v>
      </c>
      <c r="D53" s="1" t="s">
        <v>17</v>
      </c>
      <c r="E53" s="1" t="s">
        <v>31</v>
      </c>
      <c r="F53" s="1">
        <v>2</v>
      </c>
      <c r="G53" s="1" t="s">
        <v>23</v>
      </c>
      <c r="H53" s="1" t="s">
        <v>24</v>
      </c>
      <c r="I53" s="1">
        <v>96.2</v>
      </c>
      <c r="J53" s="1" t="s">
        <v>21</v>
      </c>
      <c r="K53" s="1">
        <v>38.479999999999997</v>
      </c>
      <c r="L53" s="1">
        <v>0</v>
      </c>
      <c r="M53" s="1">
        <v>54.2</v>
      </c>
      <c r="N53" s="1">
        <v>0</v>
      </c>
      <c r="O53" s="1">
        <v>0</v>
      </c>
    </row>
    <row r="54" spans="1:15" hidden="1" x14ac:dyDescent="0.35">
      <c r="A54" s="1" t="s">
        <v>38</v>
      </c>
      <c r="B54" s="2">
        <f>+[2]ARROZ_USDA!$K$9-[2]ARROZ_USDA!$K$6</f>
        <v>28</v>
      </c>
      <c r="C54" s="1" t="s">
        <v>16</v>
      </c>
      <c r="D54" s="1" t="s">
        <v>17</v>
      </c>
      <c r="E54" s="1" t="s">
        <v>31</v>
      </c>
      <c r="F54" s="1">
        <v>2</v>
      </c>
      <c r="G54" s="1" t="s">
        <v>23</v>
      </c>
      <c r="H54" s="1" t="s">
        <v>39</v>
      </c>
      <c r="I54" s="1">
        <v>25</v>
      </c>
      <c r="J54" s="1" t="s">
        <v>21</v>
      </c>
      <c r="K54" s="1">
        <v>0</v>
      </c>
      <c r="L54" s="1">
        <v>0</v>
      </c>
      <c r="M54" s="1">
        <v>0</v>
      </c>
      <c r="N54" s="1">
        <v>0</v>
      </c>
      <c r="O54" s="1">
        <v>10</v>
      </c>
    </row>
    <row r="55" spans="1:15" hidden="1" x14ac:dyDescent="0.35">
      <c r="A55" s="1" t="s">
        <v>38</v>
      </c>
      <c r="B55" s="2">
        <f>+[2]ARROZ_USDA!$K$9-[2]ARROZ_USDA!$K$6</f>
        <v>28</v>
      </c>
      <c r="C55" s="1" t="s">
        <v>16</v>
      </c>
      <c r="D55" s="1" t="s">
        <v>17</v>
      </c>
      <c r="E55" s="1" t="s">
        <v>31</v>
      </c>
      <c r="F55" s="1">
        <v>2</v>
      </c>
      <c r="G55" s="1" t="s">
        <v>23</v>
      </c>
      <c r="H55" s="1" t="s">
        <v>26</v>
      </c>
      <c r="I55" s="1">
        <v>40</v>
      </c>
      <c r="J55" s="1" t="s">
        <v>21</v>
      </c>
      <c r="K55" s="1">
        <v>0</v>
      </c>
      <c r="L55" s="1">
        <v>0</v>
      </c>
      <c r="M55" s="1">
        <v>31.6</v>
      </c>
      <c r="N55" s="1">
        <v>0</v>
      </c>
      <c r="O55" s="1">
        <v>0</v>
      </c>
    </row>
    <row r="56" spans="1:15" hidden="1" x14ac:dyDescent="0.35">
      <c r="A56" s="1" t="s">
        <v>38</v>
      </c>
      <c r="B56" s="2">
        <f>+[2]ARROZ_USDA!$K$9-[2]ARROZ_USDA!$K$6</f>
        <v>28</v>
      </c>
      <c r="C56" s="1" t="s">
        <v>16</v>
      </c>
      <c r="D56" s="1" t="s">
        <v>17</v>
      </c>
      <c r="E56" s="1" t="s">
        <v>31</v>
      </c>
      <c r="F56" s="1">
        <v>2</v>
      </c>
      <c r="G56" s="1" t="s">
        <v>27</v>
      </c>
      <c r="H56" s="1" t="s">
        <v>24</v>
      </c>
      <c r="I56" s="1">
        <v>88</v>
      </c>
      <c r="J56" s="1" t="s">
        <v>21</v>
      </c>
      <c r="K56" s="1">
        <v>35.200000000000003</v>
      </c>
      <c r="L56" s="1">
        <v>0</v>
      </c>
      <c r="M56" s="1">
        <v>0</v>
      </c>
      <c r="N56" s="1">
        <v>40</v>
      </c>
      <c r="O56" s="1">
        <v>0</v>
      </c>
    </row>
    <row r="57" spans="1:15" hidden="1" x14ac:dyDescent="0.35">
      <c r="A57" s="1" t="s">
        <v>38</v>
      </c>
      <c r="B57" s="2">
        <f>+[2]ARROZ_USDA!$K$9-[2]ARROZ_USDA!$K$6</f>
        <v>28</v>
      </c>
      <c r="C57" s="1" t="s">
        <v>16</v>
      </c>
      <c r="D57" s="1" t="s">
        <v>17</v>
      </c>
      <c r="E57" s="1" t="s">
        <v>31</v>
      </c>
      <c r="F57" s="1">
        <v>2</v>
      </c>
      <c r="G57" s="1" t="s">
        <v>27</v>
      </c>
      <c r="H57" s="1" t="s">
        <v>26</v>
      </c>
      <c r="I57" s="1">
        <v>40</v>
      </c>
      <c r="J57" s="1" t="s">
        <v>21</v>
      </c>
      <c r="K57" s="1">
        <v>0</v>
      </c>
      <c r="L57" s="1">
        <v>0</v>
      </c>
      <c r="M57" s="1">
        <v>0</v>
      </c>
      <c r="N57" s="1">
        <v>0</v>
      </c>
      <c r="O57" s="1">
        <v>20</v>
      </c>
    </row>
    <row r="58" spans="1:15" hidden="1" x14ac:dyDescent="0.35">
      <c r="A58" s="1" t="s">
        <v>38</v>
      </c>
      <c r="B58" s="2">
        <f>+[2]ARROZ_USDA!$K$9-[2]ARROZ_USDA!$K$6</f>
        <v>28</v>
      </c>
      <c r="C58" s="1" t="s">
        <v>16</v>
      </c>
      <c r="D58" s="1" t="s">
        <v>17</v>
      </c>
      <c r="E58" s="1" t="s">
        <v>31</v>
      </c>
      <c r="F58" s="1">
        <v>2</v>
      </c>
      <c r="G58" s="1" t="s">
        <v>27</v>
      </c>
      <c r="H58" s="1" t="s">
        <v>39</v>
      </c>
      <c r="I58" s="1">
        <v>25</v>
      </c>
      <c r="J58" s="1" t="s">
        <v>21</v>
      </c>
      <c r="K58" s="1">
        <v>0</v>
      </c>
      <c r="L58" s="1">
        <v>0</v>
      </c>
      <c r="M58" s="1">
        <v>0</v>
      </c>
      <c r="N58" s="1">
        <v>1.5</v>
      </c>
      <c r="O58" s="1">
        <v>0</v>
      </c>
    </row>
    <row r="59" spans="1:15" hidden="1" x14ac:dyDescent="0.35">
      <c r="A59" s="1" t="s">
        <v>38</v>
      </c>
      <c r="B59" s="2">
        <f>+[2]ARROZ_USDA!$K$9-[2]ARROZ_USDA!$K$6</f>
        <v>28</v>
      </c>
      <c r="C59" s="1" t="s">
        <v>16</v>
      </c>
      <c r="D59" s="1" t="s">
        <v>17</v>
      </c>
      <c r="E59" s="1" t="s">
        <v>31</v>
      </c>
      <c r="F59" s="1">
        <v>2</v>
      </c>
      <c r="G59" s="1" t="s">
        <v>27</v>
      </c>
      <c r="H59" s="1" t="s">
        <v>28</v>
      </c>
      <c r="I59" s="1">
        <v>75</v>
      </c>
      <c r="J59" s="1" t="s">
        <v>21</v>
      </c>
      <c r="K59" s="1">
        <f>L59</f>
        <v>2.0024999999999999</v>
      </c>
      <c r="L59" s="1">
        <f>+I59*2.67%</f>
        <v>2.0024999999999999</v>
      </c>
      <c r="M59" s="1">
        <v>46</v>
      </c>
      <c r="N59" s="1">
        <v>0</v>
      </c>
      <c r="O59" s="1">
        <v>0</v>
      </c>
    </row>
    <row r="60" spans="1:15" hidden="1" x14ac:dyDescent="0.35">
      <c r="A60" s="1" t="s">
        <v>38</v>
      </c>
      <c r="B60" s="2">
        <f>+[2]ARROZ_USDA!$Q$10-[2]ARROZ_USDA!$Q$6</f>
        <v>44</v>
      </c>
      <c r="C60" s="1" t="s">
        <v>16</v>
      </c>
      <c r="D60" s="1" t="s">
        <v>17</v>
      </c>
      <c r="E60" s="1" t="s">
        <v>33</v>
      </c>
      <c r="F60" s="1">
        <v>3</v>
      </c>
      <c r="G60" s="1" t="s">
        <v>19</v>
      </c>
      <c r="H60" s="1" t="s">
        <v>32</v>
      </c>
      <c r="I60" s="1">
        <v>86.4</v>
      </c>
      <c r="J60" s="1" t="s">
        <v>21</v>
      </c>
      <c r="K60" s="1">
        <v>39.74</v>
      </c>
      <c r="L60" s="1">
        <v>0</v>
      </c>
      <c r="M60" s="1">
        <v>0</v>
      </c>
      <c r="N60" s="1">
        <v>0</v>
      </c>
      <c r="O60" s="1">
        <v>20</v>
      </c>
    </row>
    <row r="61" spans="1:15" hidden="1" x14ac:dyDescent="0.35">
      <c r="A61" s="1" t="s">
        <v>38</v>
      </c>
      <c r="B61" s="2">
        <f>+[2]ARROZ_USDA!$Q$10-[2]ARROZ_USDA!$Q$6</f>
        <v>44</v>
      </c>
      <c r="C61" s="1" t="s">
        <v>16</v>
      </c>
      <c r="D61" s="1" t="s">
        <v>17</v>
      </c>
      <c r="E61" s="1" t="s">
        <v>33</v>
      </c>
      <c r="F61" s="1">
        <v>3</v>
      </c>
      <c r="G61" s="1" t="s">
        <v>19</v>
      </c>
      <c r="H61" s="1" t="s">
        <v>35</v>
      </c>
      <c r="I61" s="1">
        <v>25</v>
      </c>
      <c r="J61" s="1" t="s">
        <v>21</v>
      </c>
      <c r="K61" s="1">
        <v>5.25</v>
      </c>
      <c r="L61" s="1">
        <v>5.25</v>
      </c>
      <c r="M61" s="1">
        <v>0</v>
      </c>
      <c r="N61" s="1">
        <v>0</v>
      </c>
      <c r="O61" s="1">
        <v>0.5</v>
      </c>
    </row>
    <row r="62" spans="1:15" hidden="1" x14ac:dyDescent="0.35">
      <c r="A62" s="1" t="s">
        <v>38</v>
      </c>
      <c r="B62" s="2">
        <f>+[2]ARROZ_USDA!$Q$10-[2]ARROZ_USDA!$Q$6</f>
        <v>44</v>
      </c>
      <c r="C62" s="1" t="s">
        <v>16</v>
      </c>
      <c r="D62" s="1" t="s">
        <v>17</v>
      </c>
      <c r="E62" s="1" t="s">
        <v>33</v>
      </c>
      <c r="F62" s="1">
        <v>3</v>
      </c>
      <c r="G62" s="1" t="s">
        <v>19</v>
      </c>
      <c r="H62" s="1" t="s">
        <v>34</v>
      </c>
      <c r="I62" s="1">
        <v>50</v>
      </c>
      <c r="J62" s="1" t="s">
        <v>21</v>
      </c>
      <c r="K62" s="1">
        <v>0</v>
      </c>
      <c r="L62" s="1">
        <v>0</v>
      </c>
      <c r="M62" s="1">
        <v>42.48</v>
      </c>
      <c r="N62" s="1">
        <v>0</v>
      </c>
      <c r="O62" s="1">
        <v>0</v>
      </c>
    </row>
    <row r="63" spans="1:15" hidden="1" x14ac:dyDescent="0.35">
      <c r="A63" s="1" t="s">
        <v>38</v>
      </c>
      <c r="B63" s="2">
        <f>+[2]ARROZ_USDA!$Q$10-[2]ARROZ_USDA!$Q$6</f>
        <v>44</v>
      </c>
      <c r="C63" s="1" t="s">
        <v>16</v>
      </c>
      <c r="D63" s="1" t="s">
        <v>17</v>
      </c>
      <c r="E63" s="1" t="s">
        <v>33</v>
      </c>
      <c r="F63" s="1">
        <v>3</v>
      </c>
      <c r="G63" s="1" t="s">
        <v>23</v>
      </c>
      <c r="H63" s="1" t="s">
        <v>24</v>
      </c>
      <c r="I63" s="1">
        <v>109.3</v>
      </c>
      <c r="J63" s="1" t="s">
        <v>21</v>
      </c>
      <c r="K63" s="1">
        <v>43.72</v>
      </c>
      <c r="L63" s="1">
        <v>0</v>
      </c>
      <c r="M63" s="1">
        <v>0</v>
      </c>
      <c r="N63" s="1">
        <v>0</v>
      </c>
      <c r="O63" s="1">
        <v>20</v>
      </c>
    </row>
    <row r="64" spans="1:15" hidden="1" x14ac:dyDescent="0.35">
      <c r="A64" s="1" t="s">
        <v>38</v>
      </c>
      <c r="B64" s="2">
        <f>+[2]ARROZ_USDA!$Q$10-[2]ARROZ_USDA!$Q$6</f>
        <v>44</v>
      </c>
      <c r="C64" s="1" t="s">
        <v>16</v>
      </c>
      <c r="D64" s="1" t="s">
        <v>17</v>
      </c>
      <c r="E64" s="1" t="s">
        <v>33</v>
      </c>
      <c r="F64" s="1">
        <v>3</v>
      </c>
      <c r="G64" s="1" t="s">
        <v>23</v>
      </c>
      <c r="H64" s="1" t="s">
        <v>26</v>
      </c>
      <c r="I64" s="1">
        <v>25</v>
      </c>
      <c r="J64" s="1" t="s">
        <v>21</v>
      </c>
      <c r="K64" s="1">
        <v>0</v>
      </c>
      <c r="L64" s="1">
        <v>0</v>
      </c>
      <c r="M64" s="1">
        <v>0</v>
      </c>
      <c r="N64" s="1">
        <v>0</v>
      </c>
      <c r="O64" s="1">
        <v>0.5</v>
      </c>
    </row>
    <row r="65" spans="1:15" hidden="1" x14ac:dyDescent="0.35">
      <c r="A65" s="1" t="s">
        <v>38</v>
      </c>
      <c r="B65" s="2">
        <f>+[2]ARROZ_USDA!$Q$10-[2]ARROZ_USDA!$Q$6</f>
        <v>44</v>
      </c>
      <c r="C65" s="1" t="s">
        <v>16</v>
      </c>
      <c r="D65" s="1" t="s">
        <v>17</v>
      </c>
      <c r="E65" s="1" t="s">
        <v>33</v>
      </c>
      <c r="F65" s="1">
        <v>3</v>
      </c>
      <c r="G65" s="1" t="s">
        <v>27</v>
      </c>
      <c r="H65" s="1" t="s">
        <v>24</v>
      </c>
      <c r="I65" s="1">
        <v>100</v>
      </c>
      <c r="J65" s="1" t="s">
        <v>21</v>
      </c>
      <c r="K65" s="1">
        <v>40</v>
      </c>
      <c r="L65" s="1">
        <v>0</v>
      </c>
      <c r="M65" s="1">
        <v>24</v>
      </c>
      <c r="N65" s="1">
        <v>0</v>
      </c>
      <c r="O65" s="1">
        <v>0</v>
      </c>
    </row>
    <row r="66" spans="1:15" hidden="1" x14ac:dyDescent="0.35">
      <c r="A66" s="1" t="s">
        <v>38</v>
      </c>
      <c r="B66" s="2">
        <f>+[2]ARROZ_USDA!$Q$10-[2]ARROZ_USDA!$Q$6</f>
        <v>44</v>
      </c>
      <c r="C66" s="1" t="s">
        <v>16</v>
      </c>
      <c r="D66" s="1" t="s">
        <v>17</v>
      </c>
      <c r="E66" s="1" t="s">
        <v>33</v>
      </c>
      <c r="F66" s="1">
        <v>3</v>
      </c>
      <c r="G66" s="1" t="s">
        <v>27</v>
      </c>
      <c r="H66" s="1" t="s">
        <v>26</v>
      </c>
      <c r="I66" s="1">
        <v>25</v>
      </c>
      <c r="J66" s="1" t="s">
        <v>21</v>
      </c>
      <c r="K66" s="1">
        <v>0</v>
      </c>
      <c r="L66" s="1">
        <v>0</v>
      </c>
      <c r="M66" s="1">
        <v>0</v>
      </c>
      <c r="N66" s="1">
        <v>0</v>
      </c>
      <c r="O66" s="1">
        <v>20</v>
      </c>
    </row>
    <row r="67" spans="1:15" hidden="1" x14ac:dyDescent="0.35">
      <c r="A67" s="1" t="s">
        <v>38</v>
      </c>
      <c r="B67" s="2">
        <f>+[2]ARROZ_USDA!$Q$10-[2]ARROZ_USDA!$Q$6</f>
        <v>44</v>
      </c>
      <c r="C67" s="1" t="s">
        <v>16</v>
      </c>
      <c r="D67" s="1" t="s">
        <v>17</v>
      </c>
      <c r="E67" s="1" t="s">
        <v>33</v>
      </c>
      <c r="F67" s="1">
        <v>3</v>
      </c>
      <c r="G67" s="1" t="s">
        <v>27</v>
      </c>
      <c r="H67" s="1" t="s">
        <v>28</v>
      </c>
      <c r="I67" s="1">
        <v>75</v>
      </c>
      <c r="J67" s="1" t="s">
        <v>21</v>
      </c>
      <c r="K67" s="1">
        <f>L67</f>
        <v>2.0024999999999999</v>
      </c>
      <c r="L67" s="1">
        <f>+I67*2.67%</f>
        <v>2.0024999999999999</v>
      </c>
      <c r="M67" s="1">
        <v>25.48</v>
      </c>
      <c r="N67" s="1">
        <v>0</v>
      </c>
      <c r="O67" s="1">
        <v>0</v>
      </c>
    </row>
    <row r="68" spans="1:15" hidden="1" x14ac:dyDescent="0.35">
      <c r="A68" s="1" t="s">
        <v>38</v>
      </c>
      <c r="B68" s="2">
        <f>+[2]ARROZ_USDA!$Q$11-[2]ARROZ_USDA!$Q$6</f>
        <v>64</v>
      </c>
      <c r="C68" s="1" t="s">
        <v>16</v>
      </c>
      <c r="D68" s="1" t="s">
        <v>17</v>
      </c>
      <c r="E68" s="1" t="s">
        <v>36</v>
      </c>
      <c r="F68" s="1">
        <v>4</v>
      </c>
      <c r="G68" s="1" t="s">
        <v>19</v>
      </c>
      <c r="H68" s="1" t="s">
        <v>32</v>
      </c>
      <c r="I68" s="1">
        <v>117.3</v>
      </c>
      <c r="J68" s="1" t="s">
        <v>21</v>
      </c>
      <c r="K68" s="1">
        <v>53.96</v>
      </c>
      <c r="L68" s="1">
        <v>0</v>
      </c>
      <c r="M68" s="1">
        <v>16.8</v>
      </c>
      <c r="N68" s="1">
        <v>0</v>
      </c>
      <c r="O68" s="1">
        <v>0</v>
      </c>
    </row>
    <row r="69" spans="1:15" hidden="1" x14ac:dyDescent="0.35">
      <c r="A69" s="1" t="s">
        <v>38</v>
      </c>
      <c r="B69" s="2">
        <f>+[2]ARROZ_USDA!$Q$11-[2]ARROZ_USDA!$Q$6</f>
        <v>64</v>
      </c>
      <c r="C69" s="1" t="s">
        <v>16</v>
      </c>
      <c r="D69" s="1" t="s">
        <v>17</v>
      </c>
      <c r="E69" s="1" t="s">
        <v>36</v>
      </c>
      <c r="F69" s="1">
        <v>4</v>
      </c>
      <c r="G69" s="1" t="s">
        <v>19</v>
      </c>
      <c r="H69" s="1" t="s">
        <v>34</v>
      </c>
      <c r="I69" s="1">
        <v>50</v>
      </c>
      <c r="J69" s="1" t="s">
        <v>21</v>
      </c>
      <c r="K69" s="1">
        <v>0</v>
      </c>
      <c r="L69" s="1">
        <v>0</v>
      </c>
      <c r="M69" s="1">
        <v>0</v>
      </c>
      <c r="N69" s="1">
        <v>32</v>
      </c>
      <c r="O69" s="1">
        <v>0</v>
      </c>
    </row>
    <row r="70" spans="1:15" hidden="1" x14ac:dyDescent="0.35">
      <c r="A70" s="1" t="s">
        <v>38</v>
      </c>
      <c r="B70" s="2">
        <f>+[2]ARROZ_USDA!$Q$11-[2]ARROZ_USDA!$Q$6</f>
        <v>64</v>
      </c>
      <c r="C70" s="1" t="s">
        <v>16</v>
      </c>
      <c r="D70" s="1" t="s">
        <v>17</v>
      </c>
      <c r="E70" s="1" t="s">
        <v>36</v>
      </c>
      <c r="F70" s="1">
        <v>4</v>
      </c>
      <c r="G70" s="1" t="s">
        <v>23</v>
      </c>
      <c r="H70" s="1" t="s">
        <v>24</v>
      </c>
      <c r="I70" s="1">
        <v>135.5</v>
      </c>
      <c r="J70" s="1" t="s">
        <v>21</v>
      </c>
      <c r="K70" s="1">
        <v>54.2</v>
      </c>
      <c r="L70" s="1">
        <v>0</v>
      </c>
      <c r="M70" s="1">
        <v>0</v>
      </c>
      <c r="N70" s="1">
        <v>0</v>
      </c>
      <c r="O70" s="1">
        <v>20</v>
      </c>
    </row>
    <row r="71" spans="1:15" hidden="1" x14ac:dyDescent="0.35">
      <c r="A71" s="1" t="s">
        <v>38</v>
      </c>
      <c r="B71" s="2">
        <f>+[2]ARROZ_USDA!$Q$11-[2]ARROZ_USDA!$Q$6</f>
        <v>64</v>
      </c>
      <c r="C71" s="1" t="s">
        <v>16</v>
      </c>
      <c r="D71" s="1" t="s">
        <v>17</v>
      </c>
      <c r="E71" s="1" t="s">
        <v>36</v>
      </c>
      <c r="F71" s="1">
        <v>4</v>
      </c>
      <c r="G71" s="1" t="s">
        <v>23</v>
      </c>
      <c r="H71" s="1" t="s">
        <v>26</v>
      </c>
      <c r="I71" s="1">
        <v>25</v>
      </c>
      <c r="J71" s="1" t="s">
        <v>21</v>
      </c>
      <c r="K71" s="1">
        <v>0</v>
      </c>
      <c r="L71" s="1">
        <v>0</v>
      </c>
      <c r="M71" s="1">
        <v>0</v>
      </c>
      <c r="N71" s="1">
        <v>1.5</v>
      </c>
      <c r="O71" s="1">
        <v>0</v>
      </c>
    </row>
    <row r="72" spans="1:15" hidden="1" x14ac:dyDescent="0.35">
      <c r="A72" s="1" t="s">
        <v>38</v>
      </c>
      <c r="B72" s="2">
        <f>+[2]ARROZ_USDA!$Q$11-[2]ARROZ_USDA!$Q$6</f>
        <v>64</v>
      </c>
      <c r="C72" s="1" t="s">
        <v>16</v>
      </c>
      <c r="D72" s="1" t="s">
        <v>17</v>
      </c>
      <c r="E72" s="1" t="s">
        <v>36</v>
      </c>
      <c r="F72" s="1">
        <v>4</v>
      </c>
      <c r="G72" s="1" t="s">
        <v>27</v>
      </c>
      <c r="H72" s="1" t="s">
        <v>24</v>
      </c>
      <c r="I72" s="1">
        <v>129.5</v>
      </c>
      <c r="J72" s="1" t="s">
        <v>21</v>
      </c>
      <c r="K72" s="1">
        <v>51.8</v>
      </c>
      <c r="L72" s="1">
        <v>0</v>
      </c>
      <c r="M72" s="1">
        <v>0</v>
      </c>
      <c r="N72" s="1">
        <v>0</v>
      </c>
      <c r="O72" s="1">
        <v>0</v>
      </c>
    </row>
    <row r="73" spans="1:15" hidden="1" x14ac:dyDescent="0.35">
      <c r="A73" s="1" t="s">
        <v>38</v>
      </c>
      <c r="B73" s="2">
        <f>+[2]ARROZ_USDA!$Q$11-[2]ARROZ_USDA!$Q$6</f>
        <v>64</v>
      </c>
      <c r="C73" s="1" t="s">
        <v>16</v>
      </c>
      <c r="D73" s="1" t="s">
        <v>17</v>
      </c>
      <c r="E73" s="1" t="s">
        <v>36</v>
      </c>
      <c r="F73" s="1">
        <v>4</v>
      </c>
      <c r="G73" s="1" t="s">
        <v>27</v>
      </c>
      <c r="H73" s="1" t="s">
        <v>26</v>
      </c>
      <c r="I73" s="1">
        <v>25</v>
      </c>
      <c r="J73" s="1" t="s">
        <v>21</v>
      </c>
      <c r="K73" s="1">
        <v>0</v>
      </c>
      <c r="L73" s="1">
        <v>0</v>
      </c>
      <c r="M73" s="1" t="s">
        <v>21</v>
      </c>
      <c r="N73" s="1" t="s">
        <v>21</v>
      </c>
      <c r="O73" s="1" t="s">
        <v>21</v>
      </c>
    </row>
    <row r="74" spans="1:15" hidden="1" x14ac:dyDescent="0.35">
      <c r="A74" s="1" t="s">
        <v>40</v>
      </c>
      <c r="B74" s="2">
        <f>+[2]ARROZ_USDA!$T$8-[2]ARROZ_USDA!$T$6</f>
        <v>19</v>
      </c>
      <c r="C74" s="1" t="s">
        <v>16</v>
      </c>
      <c r="D74" s="1" t="s">
        <v>17</v>
      </c>
      <c r="E74" s="1" t="s">
        <v>18</v>
      </c>
      <c r="F74" s="1">
        <v>1</v>
      </c>
      <c r="G74" s="1" t="s">
        <v>19</v>
      </c>
      <c r="H74" s="1" t="s">
        <v>20</v>
      </c>
      <c r="I74" s="1">
        <v>200</v>
      </c>
      <c r="J74" s="1" t="s">
        <v>21</v>
      </c>
      <c r="K74" s="1">
        <v>36</v>
      </c>
      <c r="L74" s="1">
        <v>14</v>
      </c>
      <c r="M74" s="1" t="s">
        <v>21</v>
      </c>
      <c r="N74" s="1" t="s">
        <v>21</v>
      </c>
      <c r="O74" s="1" t="s">
        <v>21</v>
      </c>
    </row>
    <row r="75" spans="1:15" hidden="1" x14ac:dyDescent="0.35">
      <c r="A75" s="1" t="s">
        <v>40</v>
      </c>
      <c r="B75" s="2">
        <f>+[2]ARROZ_USDA!$T$8-[2]ARROZ_USDA!$T$6</f>
        <v>19</v>
      </c>
      <c r="C75" s="1" t="s">
        <v>16</v>
      </c>
      <c r="D75" s="1" t="s">
        <v>17</v>
      </c>
      <c r="E75" s="1" t="s">
        <v>18</v>
      </c>
      <c r="F75" s="1">
        <v>1</v>
      </c>
      <c r="G75" s="1" t="s">
        <v>19</v>
      </c>
      <c r="H75" s="1" t="s">
        <v>22</v>
      </c>
      <c r="I75" s="1">
        <v>50</v>
      </c>
      <c r="J75" s="1" t="s">
        <v>21</v>
      </c>
      <c r="K75" s="1">
        <v>0</v>
      </c>
      <c r="L75" s="1">
        <v>0</v>
      </c>
      <c r="M75" s="1">
        <v>41.2</v>
      </c>
      <c r="N75" s="1">
        <v>0</v>
      </c>
      <c r="O75" s="1">
        <v>0</v>
      </c>
    </row>
    <row r="76" spans="1:15" hidden="1" x14ac:dyDescent="0.35">
      <c r="A76" s="1" t="s">
        <v>40</v>
      </c>
      <c r="B76" s="2">
        <f>+[2]ARROZ_USDA!$T$8-[2]ARROZ_USDA!$T$6</f>
        <v>19</v>
      </c>
      <c r="C76" s="1" t="s">
        <v>16</v>
      </c>
      <c r="D76" s="1" t="s">
        <v>17</v>
      </c>
      <c r="E76" s="1" t="s">
        <v>18</v>
      </c>
      <c r="F76" s="1">
        <v>1</v>
      </c>
      <c r="G76" s="1" t="s">
        <v>23</v>
      </c>
      <c r="H76" s="1" t="s">
        <v>24</v>
      </c>
      <c r="I76" s="1">
        <v>79</v>
      </c>
      <c r="J76" s="1" t="s">
        <v>21</v>
      </c>
      <c r="K76" s="1">
        <v>31.6</v>
      </c>
      <c r="L76" s="1">
        <v>0</v>
      </c>
      <c r="M76" s="1">
        <v>0</v>
      </c>
      <c r="N76" s="1">
        <v>0</v>
      </c>
      <c r="O76" s="1">
        <v>20</v>
      </c>
    </row>
    <row r="77" spans="1:15" hidden="1" x14ac:dyDescent="0.35">
      <c r="A77" s="1" t="s">
        <v>40</v>
      </c>
      <c r="B77" s="2">
        <f>+[2]ARROZ_USDA!$T$8-[2]ARROZ_USDA!$T$6</f>
        <v>19</v>
      </c>
      <c r="C77" s="1" t="s">
        <v>16</v>
      </c>
      <c r="D77" s="1" t="s">
        <v>17</v>
      </c>
      <c r="E77" s="1" t="s">
        <v>18</v>
      </c>
      <c r="F77" s="1">
        <v>1</v>
      </c>
      <c r="G77" s="1" t="s">
        <v>23</v>
      </c>
      <c r="H77" s="1" t="s">
        <v>25</v>
      </c>
      <c r="I77" s="1">
        <v>100</v>
      </c>
      <c r="J77" s="1" t="s">
        <v>21</v>
      </c>
      <c r="K77" s="1">
        <v>12</v>
      </c>
      <c r="L77" s="1">
        <v>12</v>
      </c>
      <c r="M77" s="1">
        <v>0</v>
      </c>
      <c r="N77" s="1">
        <v>0</v>
      </c>
      <c r="O77" s="1">
        <v>0.5</v>
      </c>
    </row>
    <row r="78" spans="1:15" hidden="1" x14ac:dyDescent="0.35">
      <c r="A78" s="1" t="s">
        <v>40</v>
      </c>
      <c r="B78" s="2">
        <f>+[2]ARROZ_USDA!$T$8-[2]ARROZ_USDA!$T$6</f>
        <v>19</v>
      </c>
      <c r="C78" s="1" t="s">
        <v>16</v>
      </c>
      <c r="D78" s="1" t="s">
        <v>17</v>
      </c>
      <c r="E78" s="1" t="s">
        <v>18</v>
      </c>
      <c r="F78" s="1">
        <v>1</v>
      </c>
      <c r="G78" s="1" t="s">
        <v>23</v>
      </c>
      <c r="H78" s="1" t="s">
        <v>26</v>
      </c>
      <c r="I78" s="1">
        <v>50</v>
      </c>
      <c r="J78" s="1" t="s">
        <v>21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</row>
    <row r="79" spans="1:15" hidden="1" x14ac:dyDescent="0.35">
      <c r="A79" s="1" t="s">
        <v>40</v>
      </c>
      <c r="B79" s="2">
        <f>+[2]ARROZ_USDA!$T$8-[2]ARROZ_USDA!$T$6</f>
        <v>19</v>
      </c>
      <c r="C79" s="1" t="s">
        <v>16</v>
      </c>
      <c r="D79" s="1" t="s">
        <v>17</v>
      </c>
      <c r="E79" s="1" t="s">
        <v>18</v>
      </c>
      <c r="F79" s="1">
        <v>1</v>
      </c>
      <c r="G79" s="1" t="s">
        <v>23</v>
      </c>
      <c r="H79" s="1" t="s">
        <v>22</v>
      </c>
      <c r="I79" s="1">
        <v>50</v>
      </c>
      <c r="J79" s="1" t="s">
        <v>21</v>
      </c>
      <c r="K79" s="1">
        <v>0</v>
      </c>
      <c r="L79" s="1">
        <v>0</v>
      </c>
      <c r="M79" s="1">
        <v>38.24</v>
      </c>
      <c r="N79" s="1">
        <v>0</v>
      </c>
      <c r="O79" s="1">
        <v>0</v>
      </c>
    </row>
    <row r="80" spans="1:15" hidden="1" x14ac:dyDescent="0.35">
      <c r="A80" s="1" t="s">
        <v>40</v>
      </c>
      <c r="B80" s="2">
        <f>+[2]ARROZ_USDA!$T$8-[2]ARROZ_USDA!$T$6</f>
        <v>19</v>
      </c>
      <c r="C80" s="1" t="s">
        <v>16</v>
      </c>
      <c r="D80" s="1" t="s">
        <v>17</v>
      </c>
      <c r="E80" s="1" t="s">
        <v>18</v>
      </c>
      <c r="F80" s="1">
        <v>1</v>
      </c>
      <c r="G80" s="1" t="s">
        <v>27</v>
      </c>
      <c r="H80" s="1" t="s">
        <v>24</v>
      </c>
      <c r="I80" s="1">
        <v>42</v>
      </c>
      <c r="J80" s="1" t="s">
        <v>21</v>
      </c>
      <c r="K80" s="1">
        <v>16.8</v>
      </c>
      <c r="L80" s="1">
        <v>0</v>
      </c>
      <c r="M80" s="1">
        <v>0</v>
      </c>
      <c r="N80" s="1">
        <v>0</v>
      </c>
      <c r="O80" s="1">
        <v>20</v>
      </c>
    </row>
    <row r="81" spans="1:15" hidden="1" x14ac:dyDescent="0.35">
      <c r="A81" s="1" t="s">
        <v>40</v>
      </c>
      <c r="B81" s="2">
        <f>+[2]ARROZ_USDA!$T$8-[2]ARROZ_USDA!$T$6</f>
        <v>19</v>
      </c>
      <c r="C81" s="1" t="s">
        <v>16</v>
      </c>
      <c r="D81" s="1" t="s">
        <v>17</v>
      </c>
      <c r="E81" s="1" t="s">
        <v>18</v>
      </c>
      <c r="F81" s="1">
        <v>1</v>
      </c>
      <c r="G81" s="1" t="s">
        <v>27</v>
      </c>
      <c r="H81" s="1" t="s">
        <v>25</v>
      </c>
      <c r="I81" s="1">
        <v>80</v>
      </c>
      <c r="J81" s="1" t="s">
        <v>21</v>
      </c>
      <c r="K81" s="1">
        <v>9.6</v>
      </c>
      <c r="L81" s="1">
        <v>9.6</v>
      </c>
      <c r="M81" s="1">
        <v>0</v>
      </c>
      <c r="N81" s="1">
        <v>0</v>
      </c>
      <c r="O81" s="1">
        <v>0.5</v>
      </c>
    </row>
    <row r="82" spans="1:15" hidden="1" x14ac:dyDescent="0.35">
      <c r="A82" s="1" t="s">
        <v>40</v>
      </c>
      <c r="B82" s="2">
        <f>+[2]ARROZ_USDA!$T$8-[2]ARROZ_USDA!$T$6</f>
        <v>19</v>
      </c>
      <c r="C82" s="1" t="s">
        <v>16</v>
      </c>
      <c r="D82" s="1" t="s">
        <v>17</v>
      </c>
      <c r="E82" s="1" t="s">
        <v>18</v>
      </c>
      <c r="F82" s="1">
        <v>1</v>
      </c>
      <c r="G82" s="1" t="s">
        <v>27</v>
      </c>
      <c r="H82" s="1" t="s">
        <v>26</v>
      </c>
      <c r="I82" s="1">
        <v>50</v>
      </c>
      <c r="J82" s="1" t="s">
        <v>21</v>
      </c>
      <c r="K82" s="1">
        <v>0</v>
      </c>
      <c r="L82" s="1">
        <v>0</v>
      </c>
      <c r="M82" s="1">
        <v>21.6</v>
      </c>
      <c r="N82" s="1">
        <v>0</v>
      </c>
      <c r="O82" s="1">
        <v>0</v>
      </c>
    </row>
    <row r="83" spans="1:15" hidden="1" x14ac:dyDescent="0.35">
      <c r="A83" s="1" t="s">
        <v>40</v>
      </c>
      <c r="B83" s="2">
        <f>+[2]ARROZ_USDA!$T$8-[2]ARROZ_USDA!$T$6</f>
        <v>19</v>
      </c>
      <c r="C83" s="1" t="s">
        <v>16</v>
      </c>
      <c r="D83" s="1" t="s">
        <v>17</v>
      </c>
      <c r="E83" s="1" t="s">
        <v>18</v>
      </c>
      <c r="F83" s="1">
        <v>1</v>
      </c>
      <c r="G83" s="1" t="s">
        <v>27</v>
      </c>
      <c r="H83" s="1" t="s">
        <v>22</v>
      </c>
      <c r="I83" s="1">
        <v>50</v>
      </c>
      <c r="J83" s="1" t="s">
        <v>21</v>
      </c>
      <c r="K83" s="1">
        <v>0</v>
      </c>
      <c r="L83" s="1">
        <v>0</v>
      </c>
      <c r="M83" s="1">
        <v>0</v>
      </c>
      <c r="N83" s="1">
        <v>0</v>
      </c>
      <c r="O83" s="1">
        <v>20</v>
      </c>
    </row>
    <row r="84" spans="1:15" hidden="1" x14ac:dyDescent="0.35">
      <c r="A84" s="1" t="s">
        <v>40</v>
      </c>
      <c r="B84" s="2">
        <f>+[2]ARROZ_USDA!$T$8-[2]ARROZ_USDA!$T$6</f>
        <v>19</v>
      </c>
      <c r="C84" s="1" t="s">
        <v>16</v>
      </c>
      <c r="D84" s="1" t="s">
        <v>17</v>
      </c>
      <c r="E84" s="1" t="s">
        <v>18</v>
      </c>
      <c r="F84" s="1">
        <v>1</v>
      </c>
      <c r="G84" s="1" t="s">
        <v>27</v>
      </c>
      <c r="H84" s="1" t="s">
        <v>28</v>
      </c>
      <c r="I84" s="1">
        <v>75</v>
      </c>
      <c r="J84" s="1" t="s">
        <v>21</v>
      </c>
      <c r="K84" s="1">
        <f>L84</f>
        <v>2.0024999999999999</v>
      </c>
      <c r="L84" s="1">
        <f>+I84*2.67%</f>
        <v>2.0024999999999999</v>
      </c>
      <c r="M84" s="1">
        <v>21.2</v>
      </c>
      <c r="N84" s="1">
        <v>0</v>
      </c>
      <c r="O84" s="1">
        <v>0</v>
      </c>
    </row>
    <row r="85" spans="1:15" hidden="1" x14ac:dyDescent="0.35">
      <c r="A85" s="1" t="s">
        <v>40</v>
      </c>
      <c r="B85" s="2">
        <f>+[2]ARROZ_USDA!$T$8-[2]ARROZ_USDA!$T$6</f>
        <v>19</v>
      </c>
      <c r="C85" s="1" t="s">
        <v>16</v>
      </c>
      <c r="D85" s="1" t="s">
        <v>17</v>
      </c>
      <c r="E85" s="1" t="s">
        <v>18</v>
      </c>
      <c r="F85" s="1">
        <v>1</v>
      </c>
      <c r="G85" s="1" t="s">
        <v>27</v>
      </c>
      <c r="H85" s="1" t="s">
        <v>29</v>
      </c>
      <c r="I85" s="1" t="s">
        <v>21</v>
      </c>
      <c r="J85" s="1">
        <v>1</v>
      </c>
      <c r="K85" s="1" t="s">
        <v>21</v>
      </c>
      <c r="L85" s="1" t="s">
        <v>21</v>
      </c>
      <c r="M85" s="1">
        <v>0</v>
      </c>
      <c r="N85" s="1">
        <v>0.75</v>
      </c>
      <c r="O85" s="1">
        <v>0</v>
      </c>
    </row>
    <row r="86" spans="1:15" hidden="1" x14ac:dyDescent="0.35">
      <c r="A86" s="1" t="s">
        <v>40</v>
      </c>
      <c r="B86" s="2">
        <f>+[2]ARROZ_USDA!$T$8-[2]ARROZ_USDA!$T$6</f>
        <v>19</v>
      </c>
      <c r="C86" s="1" t="s">
        <v>16</v>
      </c>
      <c r="D86" s="1" t="s">
        <v>17</v>
      </c>
      <c r="E86" s="1" t="s">
        <v>18</v>
      </c>
      <c r="F86" s="1">
        <v>1</v>
      </c>
      <c r="G86" s="1" t="s">
        <v>27</v>
      </c>
      <c r="H86" s="1" t="s">
        <v>30</v>
      </c>
      <c r="I86" s="1" t="s">
        <v>21</v>
      </c>
      <c r="J86" s="1">
        <v>1</v>
      </c>
      <c r="K86" s="1" t="s">
        <v>21</v>
      </c>
      <c r="L86" s="1" t="s">
        <v>21</v>
      </c>
      <c r="M86" s="1">
        <v>0</v>
      </c>
      <c r="N86" s="1">
        <v>16</v>
      </c>
      <c r="O86" s="1">
        <v>0</v>
      </c>
    </row>
    <row r="87" spans="1:15" hidden="1" x14ac:dyDescent="0.35">
      <c r="A87" s="1" t="s">
        <v>40</v>
      </c>
      <c r="B87" s="2">
        <f>+[2]ARROZ_USDA!$T$9-[2]ARROZ_USDA!$T$6</f>
        <v>34</v>
      </c>
      <c r="C87" s="1" t="s">
        <v>16</v>
      </c>
      <c r="D87" s="1" t="s">
        <v>17</v>
      </c>
      <c r="E87" s="1" t="s">
        <v>31</v>
      </c>
      <c r="F87" s="1">
        <v>2</v>
      </c>
      <c r="G87" s="1" t="s">
        <v>19</v>
      </c>
      <c r="H87" s="1" t="s">
        <v>20</v>
      </c>
      <c r="I87" s="1">
        <v>50</v>
      </c>
      <c r="J87" s="1" t="s">
        <v>21</v>
      </c>
      <c r="K87" s="1">
        <v>9</v>
      </c>
      <c r="L87" s="1">
        <v>3.5</v>
      </c>
      <c r="M87" s="1">
        <v>0</v>
      </c>
      <c r="N87" s="1">
        <v>0</v>
      </c>
      <c r="O87" s="1">
        <v>20</v>
      </c>
    </row>
    <row r="88" spans="1:15" hidden="1" x14ac:dyDescent="0.35">
      <c r="A88" s="1" t="s">
        <v>40</v>
      </c>
      <c r="B88" s="2">
        <f>+[2]ARROZ_USDA!$T$9-[2]ARROZ_USDA!$T$6</f>
        <v>34</v>
      </c>
      <c r="C88" s="1" t="s">
        <v>16</v>
      </c>
      <c r="D88" s="1" t="s">
        <v>17</v>
      </c>
      <c r="E88" s="1" t="s">
        <v>31</v>
      </c>
      <c r="F88" s="1">
        <v>2</v>
      </c>
      <c r="G88" s="1" t="s">
        <v>19</v>
      </c>
      <c r="H88" s="1" t="s">
        <v>32</v>
      </c>
      <c r="I88" s="1">
        <v>75</v>
      </c>
      <c r="J88" s="1" t="s">
        <v>21</v>
      </c>
      <c r="K88" s="1">
        <v>34.5</v>
      </c>
      <c r="L88" s="1">
        <v>0</v>
      </c>
      <c r="M88" s="1">
        <v>0</v>
      </c>
      <c r="N88" s="1">
        <v>0</v>
      </c>
      <c r="O88" s="1">
        <v>0</v>
      </c>
    </row>
    <row r="89" spans="1:15" hidden="1" x14ac:dyDescent="0.35">
      <c r="A89" s="1" t="s">
        <v>40</v>
      </c>
      <c r="B89" s="2">
        <f>+[2]ARROZ_USDA!$T$9-[2]ARROZ_USDA!$T$6</f>
        <v>34</v>
      </c>
      <c r="C89" s="1" t="s">
        <v>16</v>
      </c>
      <c r="D89" s="1" t="s">
        <v>17</v>
      </c>
      <c r="E89" s="1" t="s">
        <v>31</v>
      </c>
      <c r="F89" s="1">
        <v>2</v>
      </c>
      <c r="G89" s="1" t="s">
        <v>19</v>
      </c>
      <c r="H89" s="1" t="s">
        <v>39</v>
      </c>
      <c r="I89" s="1">
        <v>25</v>
      </c>
      <c r="J89" s="1" t="s">
        <v>21</v>
      </c>
      <c r="K89" s="1">
        <v>0</v>
      </c>
      <c r="L89" s="1">
        <v>0</v>
      </c>
      <c r="M89" s="1" t="s">
        <v>21</v>
      </c>
      <c r="N89" s="1" t="s">
        <v>21</v>
      </c>
      <c r="O89" s="1" t="s">
        <v>21</v>
      </c>
    </row>
    <row r="90" spans="1:15" hidden="1" x14ac:dyDescent="0.35">
      <c r="A90" s="1" t="s">
        <v>40</v>
      </c>
      <c r="B90" s="2">
        <f>+[2]ARROZ_USDA!$T$9-[2]ARROZ_USDA!$T$6</f>
        <v>34</v>
      </c>
      <c r="C90" s="1" t="s">
        <v>16</v>
      </c>
      <c r="D90" s="1" t="s">
        <v>17</v>
      </c>
      <c r="E90" s="1" t="s">
        <v>31</v>
      </c>
      <c r="F90" s="1">
        <v>2</v>
      </c>
      <c r="G90" s="1" t="s">
        <v>23</v>
      </c>
      <c r="H90" s="1" t="s">
        <v>24</v>
      </c>
      <c r="I90" s="1">
        <v>115</v>
      </c>
      <c r="J90" s="1" t="s">
        <v>21</v>
      </c>
      <c r="K90" s="1">
        <v>46</v>
      </c>
      <c r="L90" s="1">
        <v>0</v>
      </c>
      <c r="M90" s="1" t="s">
        <v>21</v>
      </c>
      <c r="N90" s="1" t="s">
        <v>21</v>
      </c>
      <c r="O90" s="1" t="s">
        <v>21</v>
      </c>
    </row>
    <row r="91" spans="1:15" hidden="1" x14ac:dyDescent="0.35">
      <c r="A91" s="1" t="s">
        <v>40</v>
      </c>
      <c r="B91" s="2">
        <f>+[2]ARROZ_USDA!$T$9-[2]ARROZ_USDA!$T$6</f>
        <v>34</v>
      </c>
      <c r="C91" s="1" t="s">
        <v>16</v>
      </c>
      <c r="D91" s="1" t="s">
        <v>17</v>
      </c>
      <c r="E91" s="1" t="s">
        <v>31</v>
      </c>
      <c r="F91" s="1">
        <v>2</v>
      </c>
      <c r="G91" s="1" t="s">
        <v>23</v>
      </c>
      <c r="H91" s="1" t="s">
        <v>26</v>
      </c>
      <c r="I91" s="1">
        <v>50</v>
      </c>
      <c r="J91" s="1" t="s">
        <v>21</v>
      </c>
      <c r="K91" s="1">
        <v>0</v>
      </c>
      <c r="L91" s="1">
        <v>0</v>
      </c>
      <c r="M91" s="1">
        <v>31.68</v>
      </c>
      <c r="N91" s="1">
        <v>0</v>
      </c>
      <c r="O91" s="1">
        <v>0</v>
      </c>
    </row>
    <row r="92" spans="1:15" hidden="1" x14ac:dyDescent="0.35">
      <c r="A92" s="1" t="s">
        <v>40</v>
      </c>
      <c r="B92" s="2">
        <f>+[2]ARROZ_USDA!$T$9-[2]ARROZ_USDA!$T$6</f>
        <v>34</v>
      </c>
      <c r="C92" s="1" t="s">
        <v>16</v>
      </c>
      <c r="D92" s="1" t="s">
        <v>17</v>
      </c>
      <c r="E92" s="1" t="s">
        <v>31</v>
      </c>
      <c r="F92" s="1">
        <v>2</v>
      </c>
      <c r="G92" s="1" t="s">
        <v>23</v>
      </c>
      <c r="H92" s="1" t="s">
        <v>39</v>
      </c>
      <c r="I92" s="1">
        <v>25</v>
      </c>
      <c r="J92" s="1" t="s">
        <v>21</v>
      </c>
      <c r="K92" s="1">
        <v>0</v>
      </c>
      <c r="L92" s="1">
        <v>0</v>
      </c>
      <c r="M92" s="1">
        <v>0</v>
      </c>
      <c r="N92" s="1">
        <v>0</v>
      </c>
      <c r="O92" s="1">
        <v>20</v>
      </c>
    </row>
    <row r="93" spans="1:15" hidden="1" x14ac:dyDescent="0.35">
      <c r="A93" s="1" t="s">
        <v>40</v>
      </c>
      <c r="B93" s="2">
        <f>+[2]ARROZ_USDA!$T$9-[2]ARROZ_USDA!$T$6</f>
        <v>34</v>
      </c>
      <c r="C93" s="1" t="s">
        <v>16</v>
      </c>
      <c r="D93" s="1" t="s">
        <v>17</v>
      </c>
      <c r="E93" s="1" t="s">
        <v>31</v>
      </c>
      <c r="F93" s="1">
        <v>2</v>
      </c>
      <c r="G93" s="1" t="s">
        <v>27</v>
      </c>
      <c r="H93" s="1" t="s">
        <v>24</v>
      </c>
      <c r="I93" s="1">
        <v>103</v>
      </c>
      <c r="J93" s="1" t="s">
        <v>21</v>
      </c>
      <c r="K93" s="1">
        <v>41.2</v>
      </c>
      <c r="L93" s="1">
        <v>0</v>
      </c>
      <c r="M93" s="1">
        <v>0</v>
      </c>
      <c r="N93" s="1">
        <v>0</v>
      </c>
      <c r="O93" s="1">
        <v>0</v>
      </c>
    </row>
    <row r="94" spans="1:15" hidden="1" x14ac:dyDescent="0.35">
      <c r="A94" s="1" t="s">
        <v>40</v>
      </c>
      <c r="B94" s="2">
        <f>+[2]ARROZ_USDA!$T$9-[2]ARROZ_USDA!$T$6</f>
        <v>34</v>
      </c>
      <c r="C94" s="1" t="s">
        <v>16</v>
      </c>
      <c r="D94" s="1" t="s">
        <v>17</v>
      </c>
      <c r="E94" s="1" t="s">
        <v>31</v>
      </c>
      <c r="F94" s="1">
        <v>2</v>
      </c>
      <c r="G94" s="1" t="s">
        <v>27</v>
      </c>
      <c r="H94" s="1" t="s">
        <v>26</v>
      </c>
      <c r="I94" s="1">
        <v>50</v>
      </c>
      <c r="J94" s="1" t="s">
        <v>21</v>
      </c>
      <c r="K94" s="1">
        <v>0</v>
      </c>
      <c r="L94" s="1">
        <v>0</v>
      </c>
      <c r="M94" s="1">
        <v>36</v>
      </c>
      <c r="N94" s="1">
        <v>0</v>
      </c>
      <c r="O94" s="1">
        <v>0</v>
      </c>
    </row>
    <row r="95" spans="1:15" hidden="1" x14ac:dyDescent="0.35">
      <c r="A95" s="1" t="s">
        <v>40</v>
      </c>
      <c r="B95" s="2">
        <f>+[2]ARROZ_USDA!$T$9-[2]ARROZ_USDA!$T$6</f>
        <v>34</v>
      </c>
      <c r="C95" s="1" t="s">
        <v>16</v>
      </c>
      <c r="D95" s="1" t="s">
        <v>17</v>
      </c>
      <c r="E95" s="1" t="s">
        <v>31</v>
      </c>
      <c r="F95" s="1">
        <v>2</v>
      </c>
      <c r="G95" s="1" t="s">
        <v>27</v>
      </c>
      <c r="H95" s="1" t="s">
        <v>39</v>
      </c>
      <c r="I95" s="1">
        <v>25</v>
      </c>
      <c r="J95" s="1" t="s">
        <v>21</v>
      </c>
      <c r="K95" s="1">
        <v>0</v>
      </c>
      <c r="L95" s="1">
        <v>0</v>
      </c>
      <c r="M95" s="1">
        <v>0</v>
      </c>
      <c r="N95" s="1">
        <v>0</v>
      </c>
      <c r="O95" s="1">
        <v>20</v>
      </c>
    </row>
    <row r="96" spans="1:15" hidden="1" x14ac:dyDescent="0.35">
      <c r="A96" s="1" t="s">
        <v>40</v>
      </c>
      <c r="B96" s="2">
        <f>+[2]ARROZ_USDA!$T$9-[2]ARROZ_USDA!$T$6</f>
        <v>34</v>
      </c>
      <c r="C96" s="1" t="s">
        <v>16</v>
      </c>
      <c r="D96" s="1" t="s">
        <v>17</v>
      </c>
      <c r="E96" s="1" t="s">
        <v>31</v>
      </c>
      <c r="F96" s="1">
        <v>2</v>
      </c>
      <c r="G96" s="1" t="s">
        <v>27</v>
      </c>
      <c r="H96" s="1" t="s">
        <v>28</v>
      </c>
      <c r="I96" s="1">
        <v>75</v>
      </c>
      <c r="J96" s="1" t="s">
        <v>21</v>
      </c>
      <c r="K96" s="1">
        <f>L96</f>
        <v>2.0024999999999999</v>
      </c>
      <c r="L96" s="1">
        <f>+I96*2.67%</f>
        <v>2.0024999999999999</v>
      </c>
      <c r="M96" s="1">
        <v>28.8</v>
      </c>
      <c r="N96" s="1">
        <v>0</v>
      </c>
      <c r="O96" s="1">
        <v>0</v>
      </c>
    </row>
    <row r="97" spans="1:15" hidden="1" x14ac:dyDescent="0.35">
      <c r="A97" s="1" t="s">
        <v>40</v>
      </c>
      <c r="B97" s="2">
        <f>+[2]ARROZ_USDA!$T$10-[2]ARROZ_USDA!$T$6</f>
        <v>44</v>
      </c>
      <c r="C97" s="1" t="s">
        <v>16</v>
      </c>
      <c r="D97" s="1" t="s">
        <v>17</v>
      </c>
      <c r="E97" s="1" t="s">
        <v>33</v>
      </c>
      <c r="F97" s="1">
        <v>3</v>
      </c>
      <c r="G97" s="1" t="s">
        <v>19</v>
      </c>
      <c r="H97" s="1" t="s">
        <v>32</v>
      </c>
      <c r="I97" s="1">
        <v>97.8</v>
      </c>
      <c r="J97" s="1" t="s">
        <v>21</v>
      </c>
      <c r="K97" s="1">
        <v>44.99</v>
      </c>
      <c r="L97" s="1">
        <v>0</v>
      </c>
      <c r="M97" s="1">
        <v>0</v>
      </c>
      <c r="N97" s="1">
        <v>0</v>
      </c>
      <c r="O97" s="1">
        <v>20</v>
      </c>
    </row>
    <row r="98" spans="1:15" hidden="1" x14ac:dyDescent="0.35">
      <c r="A98" s="1" t="s">
        <v>40</v>
      </c>
      <c r="B98" s="2">
        <f>+[2]ARROZ_USDA!$T$10-[2]ARROZ_USDA!$T$6</f>
        <v>44</v>
      </c>
      <c r="C98" s="1" t="s">
        <v>16</v>
      </c>
      <c r="D98" s="1" t="s">
        <v>17</v>
      </c>
      <c r="E98" s="1" t="s">
        <v>33</v>
      </c>
      <c r="F98" s="1">
        <v>3</v>
      </c>
      <c r="G98" s="1" t="s">
        <v>19</v>
      </c>
      <c r="H98" s="1" t="s">
        <v>34</v>
      </c>
      <c r="I98" s="1">
        <v>50</v>
      </c>
      <c r="J98" s="1" t="s">
        <v>21</v>
      </c>
      <c r="K98" s="1">
        <v>0</v>
      </c>
      <c r="L98" s="1">
        <v>0</v>
      </c>
      <c r="M98" s="1">
        <v>21.6</v>
      </c>
      <c r="N98" s="1">
        <v>0</v>
      </c>
      <c r="O98" s="1">
        <v>0</v>
      </c>
    </row>
    <row r="99" spans="1:15" hidden="1" x14ac:dyDescent="0.35">
      <c r="A99" s="1" t="s">
        <v>40</v>
      </c>
      <c r="B99" s="2">
        <f>+[2]ARROZ_USDA!$T$10-[2]ARROZ_USDA!$T$6</f>
        <v>44</v>
      </c>
      <c r="C99" s="1" t="s">
        <v>16</v>
      </c>
      <c r="D99" s="1" t="s">
        <v>17</v>
      </c>
      <c r="E99" s="1" t="s">
        <v>33</v>
      </c>
      <c r="F99" s="1">
        <v>3</v>
      </c>
      <c r="G99" s="1" t="s">
        <v>19</v>
      </c>
      <c r="H99" s="1" t="s">
        <v>39</v>
      </c>
      <c r="I99" s="1">
        <v>25</v>
      </c>
      <c r="J99" s="1" t="s">
        <v>21</v>
      </c>
      <c r="K99" s="1">
        <v>0</v>
      </c>
      <c r="L99" s="1">
        <v>0</v>
      </c>
      <c r="M99" s="1">
        <v>29</v>
      </c>
      <c r="N99" s="1">
        <v>0</v>
      </c>
      <c r="O99" s="1">
        <v>0</v>
      </c>
    </row>
    <row r="100" spans="1:15" hidden="1" x14ac:dyDescent="0.35">
      <c r="A100" s="1" t="s">
        <v>40</v>
      </c>
      <c r="B100" s="2">
        <f>+[2]ARROZ_USDA!$T$10-[2]ARROZ_USDA!$T$6</f>
        <v>44</v>
      </c>
      <c r="C100" s="1" t="s">
        <v>16</v>
      </c>
      <c r="D100" s="1" t="s">
        <v>17</v>
      </c>
      <c r="E100" s="1" t="s">
        <v>33</v>
      </c>
      <c r="F100" s="1">
        <v>3</v>
      </c>
      <c r="G100" s="1" t="s">
        <v>23</v>
      </c>
      <c r="H100" s="1" t="s">
        <v>24</v>
      </c>
      <c r="I100" s="1">
        <v>106.2</v>
      </c>
      <c r="J100" s="1" t="s">
        <v>21</v>
      </c>
      <c r="K100" s="1">
        <v>42.48</v>
      </c>
      <c r="L100" s="1">
        <v>0</v>
      </c>
      <c r="M100" s="1">
        <v>0</v>
      </c>
      <c r="N100" s="1">
        <v>1.5</v>
      </c>
      <c r="O100" s="1">
        <v>0</v>
      </c>
    </row>
    <row r="101" spans="1:15" hidden="1" x14ac:dyDescent="0.35">
      <c r="A101" s="1" t="s">
        <v>40</v>
      </c>
      <c r="B101" s="2">
        <f>+[2]ARROZ_USDA!$T$10-[2]ARROZ_USDA!$T$6</f>
        <v>44</v>
      </c>
      <c r="C101" s="1" t="s">
        <v>16</v>
      </c>
      <c r="D101" s="1" t="s">
        <v>17</v>
      </c>
      <c r="E101" s="1" t="s">
        <v>33</v>
      </c>
      <c r="F101" s="1">
        <v>3</v>
      </c>
      <c r="G101" s="1" t="s">
        <v>23</v>
      </c>
      <c r="H101" s="1" t="s">
        <v>26</v>
      </c>
      <c r="I101" s="1">
        <v>50</v>
      </c>
      <c r="J101" s="1" t="s">
        <v>21</v>
      </c>
      <c r="K101" s="1">
        <v>0</v>
      </c>
      <c r="L101" s="1">
        <v>0</v>
      </c>
      <c r="M101" s="1">
        <v>0</v>
      </c>
      <c r="N101" s="1">
        <v>0</v>
      </c>
      <c r="O101" s="1">
        <v>10</v>
      </c>
    </row>
    <row r="102" spans="1:15" hidden="1" x14ac:dyDescent="0.35">
      <c r="A102" s="1" t="s">
        <v>40</v>
      </c>
      <c r="B102" s="2">
        <f>+[2]ARROZ_USDA!$T$10-[2]ARROZ_USDA!$T$6</f>
        <v>44</v>
      </c>
      <c r="C102" s="1" t="s">
        <v>16</v>
      </c>
      <c r="D102" s="1" t="s">
        <v>17</v>
      </c>
      <c r="E102" s="1" t="s">
        <v>33</v>
      </c>
      <c r="F102" s="1">
        <v>3</v>
      </c>
      <c r="G102" s="1" t="s">
        <v>23</v>
      </c>
      <c r="H102" s="1" t="s">
        <v>39</v>
      </c>
      <c r="I102" s="1">
        <v>25</v>
      </c>
      <c r="J102" s="1" t="s">
        <v>21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</row>
    <row r="103" spans="1:15" hidden="1" x14ac:dyDescent="0.35">
      <c r="A103" s="1" t="s">
        <v>40</v>
      </c>
      <c r="B103" s="2">
        <f>+[2]ARROZ_USDA!$T$10-[2]ARROZ_USDA!$T$6</f>
        <v>44</v>
      </c>
      <c r="C103" s="1" t="s">
        <v>16</v>
      </c>
      <c r="D103" s="1" t="s">
        <v>17</v>
      </c>
      <c r="E103" s="1" t="s">
        <v>33</v>
      </c>
      <c r="F103" s="1">
        <v>3</v>
      </c>
      <c r="G103" s="1" t="s">
        <v>27</v>
      </c>
      <c r="H103" s="1" t="s">
        <v>24</v>
      </c>
      <c r="I103" s="1">
        <v>95.6</v>
      </c>
      <c r="J103" s="1" t="s">
        <v>21</v>
      </c>
      <c r="K103" s="1">
        <v>38.24</v>
      </c>
      <c r="L103" s="1">
        <v>0</v>
      </c>
      <c r="M103" s="1" t="s">
        <v>21</v>
      </c>
      <c r="N103" s="1" t="s">
        <v>21</v>
      </c>
      <c r="O103" s="1" t="s">
        <v>21</v>
      </c>
    </row>
    <row r="104" spans="1:15" hidden="1" x14ac:dyDescent="0.35">
      <c r="A104" s="1" t="s">
        <v>40</v>
      </c>
      <c r="B104" s="2">
        <f>+[2]ARROZ_USDA!$T$10-[2]ARROZ_USDA!$T$6</f>
        <v>44</v>
      </c>
      <c r="C104" s="1" t="s">
        <v>16</v>
      </c>
      <c r="D104" s="1" t="s">
        <v>17</v>
      </c>
      <c r="E104" s="1" t="s">
        <v>33</v>
      </c>
      <c r="F104" s="1">
        <v>3</v>
      </c>
      <c r="G104" s="1" t="s">
        <v>27</v>
      </c>
      <c r="H104" s="1" t="s">
        <v>26</v>
      </c>
      <c r="I104" s="1">
        <v>50</v>
      </c>
      <c r="J104" s="1" t="s">
        <v>21</v>
      </c>
      <c r="K104" s="1">
        <v>0</v>
      </c>
      <c r="L104" s="1">
        <v>0</v>
      </c>
      <c r="M104" s="1" t="s">
        <v>21</v>
      </c>
      <c r="N104" s="1" t="s">
        <v>21</v>
      </c>
      <c r="O104" s="1" t="s">
        <v>21</v>
      </c>
    </row>
    <row r="105" spans="1:15" hidden="1" x14ac:dyDescent="0.35">
      <c r="A105" s="1" t="s">
        <v>40</v>
      </c>
      <c r="B105" s="2">
        <f>+[2]ARROZ_USDA!$T$10-[2]ARROZ_USDA!$T$6</f>
        <v>44</v>
      </c>
      <c r="C105" s="1" t="s">
        <v>16</v>
      </c>
      <c r="D105" s="1" t="s">
        <v>17</v>
      </c>
      <c r="E105" s="1" t="s">
        <v>33</v>
      </c>
      <c r="F105" s="1">
        <v>3</v>
      </c>
      <c r="G105" s="1" t="s">
        <v>27</v>
      </c>
      <c r="H105" s="1" t="s">
        <v>39</v>
      </c>
      <c r="I105" s="1">
        <v>25</v>
      </c>
      <c r="J105" s="1" t="s">
        <v>21</v>
      </c>
      <c r="K105" s="1">
        <v>0</v>
      </c>
      <c r="L105" s="1">
        <v>0</v>
      </c>
      <c r="M105" s="1">
        <v>35.200000000000003</v>
      </c>
      <c r="N105" s="1">
        <v>0</v>
      </c>
      <c r="O105" s="1">
        <v>0</v>
      </c>
    </row>
    <row r="106" spans="1:15" hidden="1" x14ac:dyDescent="0.35">
      <c r="A106" s="1" t="s">
        <v>40</v>
      </c>
      <c r="B106" s="2">
        <f>+[2]ARROZ_USDA!$T$11-[2]ARROZ_USDA!$T$6</f>
        <v>54</v>
      </c>
      <c r="C106" s="1" t="s">
        <v>16</v>
      </c>
      <c r="D106" s="1" t="s">
        <v>17</v>
      </c>
      <c r="E106" s="1" t="s">
        <v>36</v>
      </c>
      <c r="F106" s="1">
        <v>4</v>
      </c>
      <c r="G106" s="1" t="s">
        <v>19</v>
      </c>
      <c r="H106" s="1" t="s">
        <v>32</v>
      </c>
      <c r="I106" s="1">
        <v>58.6</v>
      </c>
      <c r="J106" s="1" t="s">
        <v>21</v>
      </c>
      <c r="K106" s="1">
        <v>26.96</v>
      </c>
      <c r="L106" s="1">
        <v>0</v>
      </c>
      <c r="M106" s="1">
        <v>0</v>
      </c>
      <c r="N106" s="1">
        <v>0</v>
      </c>
      <c r="O106" s="1">
        <v>16</v>
      </c>
    </row>
    <row r="107" spans="1:15" hidden="1" x14ac:dyDescent="0.35">
      <c r="A107" s="1" t="s">
        <v>40</v>
      </c>
      <c r="B107" s="2">
        <f>+[2]ARROZ_USDA!$T$11-[2]ARROZ_USDA!$T$6</f>
        <v>54</v>
      </c>
      <c r="C107" s="1" t="s">
        <v>16</v>
      </c>
      <c r="D107" s="1" t="s">
        <v>17</v>
      </c>
      <c r="E107" s="1" t="s">
        <v>36</v>
      </c>
      <c r="F107" s="1">
        <v>4</v>
      </c>
      <c r="G107" s="1" t="s">
        <v>19</v>
      </c>
      <c r="H107" s="1" t="s">
        <v>34</v>
      </c>
      <c r="I107" s="1">
        <v>41.6</v>
      </c>
      <c r="J107" s="1" t="s">
        <v>21</v>
      </c>
      <c r="K107" s="1">
        <v>0</v>
      </c>
      <c r="L107" s="1">
        <v>0</v>
      </c>
      <c r="M107" s="1">
        <v>0</v>
      </c>
      <c r="N107" s="1">
        <v>0</v>
      </c>
      <c r="O107" s="1">
        <v>0.5</v>
      </c>
    </row>
    <row r="108" spans="1:15" hidden="1" x14ac:dyDescent="0.35">
      <c r="A108" s="1" t="s">
        <v>40</v>
      </c>
      <c r="B108" s="2">
        <f>+[2]ARROZ_USDA!$T$11-[2]ARROZ_USDA!$T$6</f>
        <v>54</v>
      </c>
      <c r="C108" s="1" t="s">
        <v>16</v>
      </c>
      <c r="D108" s="1" t="s">
        <v>17</v>
      </c>
      <c r="E108" s="1" t="s">
        <v>36</v>
      </c>
      <c r="F108" s="1">
        <v>4</v>
      </c>
      <c r="G108" s="1" t="s">
        <v>23</v>
      </c>
      <c r="H108" s="1" t="s">
        <v>24</v>
      </c>
      <c r="I108" s="1">
        <v>60</v>
      </c>
      <c r="J108" s="1" t="s">
        <v>21</v>
      </c>
      <c r="K108" s="1">
        <v>24</v>
      </c>
      <c r="L108" s="1">
        <v>0</v>
      </c>
      <c r="M108" s="1">
        <v>0</v>
      </c>
      <c r="N108" s="1">
        <v>0</v>
      </c>
      <c r="O108" s="1">
        <v>0</v>
      </c>
    </row>
    <row r="109" spans="1:15" hidden="1" x14ac:dyDescent="0.35">
      <c r="A109" s="1" t="s">
        <v>40</v>
      </c>
      <c r="B109" s="2">
        <f>+[2]ARROZ_USDA!$T$11-[2]ARROZ_USDA!$T$6</f>
        <v>54</v>
      </c>
      <c r="C109" s="1" t="s">
        <v>16</v>
      </c>
      <c r="D109" s="1" t="s">
        <v>17</v>
      </c>
      <c r="E109" s="1" t="s">
        <v>36</v>
      </c>
      <c r="F109" s="1">
        <v>4</v>
      </c>
      <c r="G109" s="1" t="s">
        <v>23</v>
      </c>
      <c r="H109" s="1" t="s">
        <v>26</v>
      </c>
      <c r="I109" s="1">
        <v>50</v>
      </c>
      <c r="J109" s="1" t="s">
        <v>21</v>
      </c>
      <c r="K109" s="1">
        <v>0</v>
      </c>
      <c r="L109" s="1">
        <v>0</v>
      </c>
      <c r="M109" s="1">
        <v>40</v>
      </c>
      <c r="N109" s="1">
        <v>0</v>
      </c>
      <c r="O109" s="1">
        <v>0</v>
      </c>
    </row>
    <row r="110" spans="1:15" hidden="1" x14ac:dyDescent="0.35">
      <c r="A110" s="1" t="s">
        <v>40</v>
      </c>
      <c r="B110" s="2">
        <f>+[2]ARROZ_USDA!$T$11-[2]ARROZ_USDA!$T$6</f>
        <v>54</v>
      </c>
      <c r="C110" s="1" t="s">
        <v>16</v>
      </c>
      <c r="D110" s="1" t="s">
        <v>17</v>
      </c>
      <c r="E110" s="1" t="s">
        <v>36</v>
      </c>
      <c r="F110" s="1">
        <v>4</v>
      </c>
      <c r="G110" s="1" t="s">
        <v>27</v>
      </c>
      <c r="H110" s="1" t="s">
        <v>24</v>
      </c>
      <c r="I110" s="1">
        <v>54</v>
      </c>
      <c r="J110" s="1" t="s">
        <v>21</v>
      </c>
      <c r="K110" s="1">
        <v>21.6</v>
      </c>
      <c r="L110" s="1">
        <v>0</v>
      </c>
      <c r="M110" s="1">
        <v>0</v>
      </c>
      <c r="N110" s="1">
        <v>0</v>
      </c>
      <c r="O110" s="1">
        <v>10</v>
      </c>
    </row>
    <row r="111" spans="1:15" hidden="1" x14ac:dyDescent="0.35">
      <c r="A111" s="1" t="s">
        <v>40</v>
      </c>
      <c r="B111" s="2">
        <f>+[2]ARROZ_USDA!$T$11-[2]ARROZ_USDA!$T$6</f>
        <v>54</v>
      </c>
      <c r="C111" s="1" t="s">
        <v>16</v>
      </c>
      <c r="D111" s="1" t="s">
        <v>17</v>
      </c>
      <c r="E111" s="1" t="s">
        <v>36</v>
      </c>
      <c r="F111" s="1">
        <v>4</v>
      </c>
      <c r="G111" s="1" t="s">
        <v>27</v>
      </c>
      <c r="H111" s="1" t="s">
        <v>26</v>
      </c>
      <c r="I111" s="1">
        <v>50</v>
      </c>
      <c r="J111" s="1" t="s">
        <v>21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</row>
    <row r="112" spans="1:15" hidden="1" x14ac:dyDescent="0.35">
      <c r="A112" s="1" t="s">
        <v>40</v>
      </c>
      <c r="B112" s="2">
        <f>+[2]ARROZ_USDA!$T$12-[2]ARROZ_USDA!$T$6</f>
        <v>69</v>
      </c>
      <c r="C112" s="1" t="s">
        <v>16</v>
      </c>
      <c r="D112" s="1" t="s">
        <v>17</v>
      </c>
      <c r="E112" s="1" t="s">
        <v>37</v>
      </c>
      <c r="F112" s="1">
        <v>5</v>
      </c>
      <c r="G112" s="1" t="s">
        <v>19</v>
      </c>
      <c r="H112" s="1" t="s">
        <v>32</v>
      </c>
      <c r="I112" s="1">
        <v>39.1</v>
      </c>
      <c r="J112" s="1" t="s">
        <v>21</v>
      </c>
      <c r="K112" s="1">
        <v>17.989999999999998</v>
      </c>
      <c r="L112" s="1">
        <v>0</v>
      </c>
      <c r="M112" s="1">
        <v>51.8</v>
      </c>
      <c r="N112" s="1">
        <v>0</v>
      </c>
      <c r="O112" s="1">
        <v>0</v>
      </c>
    </row>
    <row r="113" spans="1:15" hidden="1" x14ac:dyDescent="0.35">
      <c r="A113" s="1" t="s">
        <v>40</v>
      </c>
      <c r="B113" s="2">
        <f>+[2]ARROZ_USDA!$T$12-[2]ARROZ_USDA!$T$6</f>
        <v>69</v>
      </c>
      <c r="C113" s="1" t="s">
        <v>16</v>
      </c>
      <c r="D113" s="1" t="s">
        <v>17</v>
      </c>
      <c r="E113" s="1" t="s">
        <v>37</v>
      </c>
      <c r="F113" s="1">
        <v>5</v>
      </c>
      <c r="G113" s="1" t="s">
        <v>23</v>
      </c>
      <c r="H113" s="1" t="s">
        <v>24</v>
      </c>
      <c r="I113" s="1">
        <v>63.7</v>
      </c>
      <c r="J113" s="1" t="s">
        <v>21</v>
      </c>
      <c r="K113" s="1">
        <v>25.48</v>
      </c>
      <c r="L113" s="1">
        <v>0</v>
      </c>
      <c r="M113" s="1">
        <v>0</v>
      </c>
      <c r="N113" s="1">
        <v>0</v>
      </c>
      <c r="O113" s="1">
        <v>10</v>
      </c>
    </row>
    <row r="114" spans="1:15" x14ac:dyDescent="0.35">
      <c r="A114" s="1" t="s">
        <v>15</v>
      </c>
      <c r="B114" s="1" t="s">
        <v>41</v>
      </c>
      <c r="C114" s="1" t="s">
        <v>42</v>
      </c>
      <c r="D114" s="1" t="s">
        <v>17</v>
      </c>
      <c r="E114" s="1" t="s">
        <v>18</v>
      </c>
      <c r="F114" s="1">
        <v>1</v>
      </c>
      <c r="G114" s="1" t="s">
        <v>19</v>
      </c>
      <c r="H114" s="1" t="s">
        <v>43</v>
      </c>
      <c r="I114" s="1">
        <v>204</v>
      </c>
      <c r="J114" s="1" t="s">
        <v>21</v>
      </c>
      <c r="K114" s="1">
        <f>+I114*20%</f>
        <v>40.800000000000004</v>
      </c>
      <c r="L114" s="1">
        <f>+I114*12.05%</f>
        <v>24.582000000000001</v>
      </c>
      <c r="M114" s="1">
        <f>+I114*7.95%</f>
        <v>16.218</v>
      </c>
      <c r="N114" s="1">
        <f>+I114*3%</f>
        <v>6.12</v>
      </c>
      <c r="O114" s="1">
        <f>+I114*18%</f>
        <v>36.72</v>
      </c>
    </row>
    <row r="115" spans="1:15" x14ac:dyDescent="0.35">
      <c r="A115" s="1" t="s">
        <v>15</v>
      </c>
      <c r="B115" s="1" t="s">
        <v>44</v>
      </c>
      <c r="C115" s="1" t="s">
        <v>42</v>
      </c>
      <c r="D115" s="1" t="s">
        <v>17</v>
      </c>
      <c r="E115" s="1" t="s">
        <v>31</v>
      </c>
      <c r="F115" s="1">
        <v>2</v>
      </c>
      <c r="G115" s="1" t="s">
        <v>19</v>
      </c>
      <c r="H115" s="1" t="s">
        <v>45</v>
      </c>
      <c r="I115" s="1">
        <v>204</v>
      </c>
      <c r="J115" s="1" t="s">
        <v>21</v>
      </c>
      <c r="K115" s="1">
        <f>+I115*12%</f>
        <v>24.48</v>
      </c>
      <c r="L115" s="1">
        <v>0</v>
      </c>
      <c r="M115" s="1">
        <v>0</v>
      </c>
      <c r="N115" s="1">
        <v>8.16</v>
      </c>
      <c r="O115" s="1">
        <v>55.08</v>
      </c>
    </row>
    <row r="116" spans="1:15" x14ac:dyDescent="0.35">
      <c r="A116" s="1" t="s">
        <v>15</v>
      </c>
      <c r="B116" s="1" t="s">
        <v>46</v>
      </c>
      <c r="C116" s="1" t="s">
        <v>42</v>
      </c>
      <c r="D116" s="1" t="s">
        <v>17</v>
      </c>
      <c r="E116" s="1" t="s">
        <v>33</v>
      </c>
      <c r="F116" s="1">
        <v>3</v>
      </c>
      <c r="G116" s="1" t="s">
        <v>19</v>
      </c>
      <c r="H116" s="1" t="s">
        <v>45</v>
      </c>
      <c r="I116" s="1">
        <v>204</v>
      </c>
      <c r="J116" s="1" t="s">
        <v>21</v>
      </c>
      <c r="K116" s="1">
        <f>+I116*12%</f>
        <v>24.48</v>
      </c>
      <c r="L116" s="1">
        <v>0</v>
      </c>
      <c r="M116" s="1">
        <v>0</v>
      </c>
      <c r="N116" s="1">
        <v>8.16</v>
      </c>
      <c r="O116" s="1">
        <v>55.08</v>
      </c>
    </row>
    <row r="117" spans="1:15" x14ac:dyDescent="0.35">
      <c r="A117" s="1" t="s">
        <v>15</v>
      </c>
      <c r="B117" s="1" t="s">
        <v>47</v>
      </c>
      <c r="C117" s="1" t="s">
        <v>42</v>
      </c>
      <c r="D117" s="1" t="s">
        <v>17</v>
      </c>
      <c r="E117" s="1" t="s">
        <v>36</v>
      </c>
      <c r="F117" s="1">
        <v>4</v>
      </c>
      <c r="G117" s="1" t="s">
        <v>19</v>
      </c>
      <c r="H117" s="1" t="s">
        <v>43</v>
      </c>
      <c r="I117" s="1">
        <v>204</v>
      </c>
      <c r="J117" s="1" t="s">
        <v>21</v>
      </c>
      <c r="K117" s="1">
        <f t="shared" ref="K117" si="0">+I117*20%</f>
        <v>40.800000000000004</v>
      </c>
      <c r="L117" s="1">
        <f>+I117*12.05%</f>
        <v>24.582000000000001</v>
      </c>
      <c r="M117" s="1">
        <f>+I117*7.95%</f>
        <v>16.218</v>
      </c>
      <c r="N117" s="1">
        <v>6.12</v>
      </c>
      <c r="O117" s="1">
        <v>36.72</v>
      </c>
    </row>
    <row r="118" spans="1:15" x14ac:dyDescent="0.35">
      <c r="A118" s="1" t="s">
        <v>15</v>
      </c>
      <c r="B118" s="1" t="s">
        <v>21</v>
      </c>
      <c r="C118" s="1" t="s">
        <v>42</v>
      </c>
      <c r="D118" s="1" t="s">
        <v>17</v>
      </c>
      <c r="E118" s="1" t="s">
        <v>37</v>
      </c>
      <c r="F118" s="1">
        <v>5</v>
      </c>
      <c r="G118" s="1" t="s">
        <v>19</v>
      </c>
      <c r="H118" s="1" t="s">
        <v>48</v>
      </c>
      <c r="I118" s="1">
        <v>204</v>
      </c>
      <c r="J118" s="1" t="s">
        <v>21</v>
      </c>
      <c r="K118" s="1">
        <f>+I118*15%</f>
        <v>30.599999999999998</v>
      </c>
      <c r="L118" s="1">
        <f>+$I$208*8.3%</f>
        <v>14.110000000000001</v>
      </c>
      <c r="M118" s="1">
        <f>+$I$208*6.7%</f>
        <v>11.39</v>
      </c>
      <c r="N118" s="1">
        <f>+$I$208*4%</f>
        <v>6.8</v>
      </c>
      <c r="O118" s="1">
        <f>+$I$208*23%</f>
        <v>39.1</v>
      </c>
    </row>
    <row r="119" spans="1:15" x14ac:dyDescent="0.35">
      <c r="A119" s="1" t="s">
        <v>15</v>
      </c>
      <c r="B119" s="1" t="s">
        <v>21</v>
      </c>
      <c r="C119" s="1" t="s">
        <v>42</v>
      </c>
      <c r="D119" s="1" t="s">
        <v>17</v>
      </c>
      <c r="E119" s="1" t="s">
        <v>49</v>
      </c>
      <c r="F119" s="1">
        <v>6</v>
      </c>
      <c r="G119" s="1" t="s">
        <v>19</v>
      </c>
      <c r="H119" s="1" t="s">
        <v>43</v>
      </c>
      <c r="I119" s="1">
        <v>204</v>
      </c>
      <c r="J119" s="1" t="s">
        <v>21</v>
      </c>
      <c r="K119" s="1">
        <f>+I119*20%</f>
        <v>40.800000000000004</v>
      </c>
      <c r="L119" s="1">
        <f>+I119*12.05%</f>
        <v>24.582000000000001</v>
      </c>
      <c r="M119" s="1">
        <f>+I119*7.95%</f>
        <v>16.218</v>
      </c>
      <c r="N119" s="1">
        <f>+I119*3%</f>
        <v>6.12</v>
      </c>
      <c r="O119" s="1">
        <f>+I119*18%</f>
        <v>36.72</v>
      </c>
    </row>
    <row r="120" spans="1:15" x14ac:dyDescent="0.35">
      <c r="A120" s="1" t="s">
        <v>15</v>
      </c>
      <c r="B120" s="1" t="s">
        <v>21</v>
      </c>
      <c r="C120" s="1" t="s">
        <v>42</v>
      </c>
      <c r="D120" s="1" t="s">
        <v>50</v>
      </c>
      <c r="E120" s="1" t="s">
        <v>51</v>
      </c>
      <c r="F120" s="1">
        <v>7</v>
      </c>
      <c r="G120" s="1" t="s">
        <v>19</v>
      </c>
      <c r="H120" s="1" t="s">
        <v>52</v>
      </c>
      <c r="I120" s="1">
        <f>+I119*2</f>
        <v>408</v>
      </c>
      <c r="J120" s="1" t="s">
        <v>21</v>
      </c>
      <c r="K120" s="1">
        <f>+I120*0%</f>
        <v>0</v>
      </c>
      <c r="L120" s="1">
        <f>+I120*0%</f>
        <v>0</v>
      </c>
      <c r="M120" s="1">
        <f>+I120*0%</f>
        <v>0</v>
      </c>
      <c r="N120" s="1">
        <f>+I120*3%</f>
        <v>12.24</v>
      </c>
      <c r="O120" s="1">
        <f>+I120*0</f>
        <v>0</v>
      </c>
    </row>
    <row r="121" spans="1:15" x14ac:dyDescent="0.35">
      <c r="A121" s="1" t="s">
        <v>15</v>
      </c>
      <c r="B121" s="1" t="s">
        <v>21</v>
      </c>
      <c r="C121" s="1" t="s">
        <v>42</v>
      </c>
      <c r="D121" s="1" t="s">
        <v>50</v>
      </c>
      <c r="E121" s="1" t="s">
        <v>53</v>
      </c>
      <c r="F121" s="1">
        <v>8</v>
      </c>
      <c r="G121" s="1" t="s">
        <v>19</v>
      </c>
      <c r="H121" s="1" t="s">
        <v>54</v>
      </c>
      <c r="I121" s="1">
        <v>204</v>
      </c>
      <c r="J121" s="1" t="s">
        <v>21</v>
      </c>
      <c r="K121" s="1">
        <f>+I121*12%%</f>
        <v>0.24479999999999999</v>
      </c>
      <c r="L121" s="1">
        <f>+I121*3%</f>
        <v>6.12</v>
      </c>
      <c r="M121" s="1">
        <f>+I121*9%</f>
        <v>18.36</v>
      </c>
      <c r="N121" s="1">
        <f>+I121*24%</f>
        <v>48.96</v>
      </c>
      <c r="O121" s="1">
        <f>+I121*12%</f>
        <v>24.48</v>
      </c>
    </row>
    <row r="122" spans="1:15" x14ac:dyDescent="0.35">
      <c r="A122" s="1" t="s">
        <v>15</v>
      </c>
      <c r="B122" s="1" t="s">
        <v>21</v>
      </c>
      <c r="C122" s="1" t="s">
        <v>42</v>
      </c>
      <c r="D122" s="1" t="s">
        <v>50</v>
      </c>
      <c r="E122" s="1" t="s">
        <v>55</v>
      </c>
      <c r="F122" s="1">
        <v>9</v>
      </c>
      <c r="G122" s="1" t="s">
        <v>19</v>
      </c>
      <c r="H122" s="1" t="s">
        <v>56</v>
      </c>
      <c r="I122" s="1">
        <v>204</v>
      </c>
      <c r="J122" s="1" t="s">
        <v>21</v>
      </c>
      <c r="K122" s="1">
        <f>+I122*20%</f>
        <v>40.800000000000004</v>
      </c>
      <c r="L122" s="1">
        <f>+I122*2.5%</f>
        <v>5.1000000000000005</v>
      </c>
      <c r="M122" s="1">
        <f>+I122*17.5%</f>
        <v>35.699999999999996</v>
      </c>
      <c r="N122" s="1">
        <f>+I122*0%</f>
        <v>0</v>
      </c>
      <c r="O122" s="1">
        <f>+I122*30%</f>
        <v>61.199999999999996</v>
      </c>
    </row>
    <row r="123" spans="1:15" x14ac:dyDescent="0.35">
      <c r="A123" s="1" t="s">
        <v>15</v>
      </c>
      <c r="B123" s="1" t="s">
        <v>21</v>
      </c>
      <c r="C123" s="1" t="s">
        <v>42</v>
      </c>
      <c r="D123" s="1" t="s">
        <v>50</v>
      </c>
      <c r="E123" s="1" t="s">
        <v>57</v>
      </c>
      <c r="F123" s="1">
        <v>10</v>
      </c>
      <c r="G123" s="1" t="s">
        <v>19</v>
      </c>
      <c r="H123" s="1" t="s">
        <v>34</v>
      </c>
      <c r="I123" s="1">
        <v>204</v>
      </c>
      <c r="J123" s="1" t="s">
        <v>21</v>
      </c>
      <c r="K123" s="1">
        <f t="shared" ref="K123" si="1">+I123*0%</f>
        <v>0</v>
      </c>
      <c r="L123" s="1">
        <f t="shared" ref="L123" si="2">+I123*0%</f>
        <v>0</v>
      </c>
      <c r="M123" s="1">
        <f t="shared" ref="M123" si="3">+I123*0%</f>
        <v>0</v>
      </c>
      <c r="N123" s="1">
        <f>+I123*0%</f>
        <v>0</v>
      </c>
      <c r="O123" s="1">
        <f>+I123*60%</f>
        <v>122.39999999999999</v>
      </c>
    </row>
    <row r="124" spans="1:15" x14ac:dyDescent="0.35">
      <c r="A124" s="1" t="s">
        <v>15</v>
      </c>
      <c r="B124" s="1" t="s">
        <v>21</v>
      </c>
      <c r="C124" s="1" t="s">
        <v>42</v>
      </c>
      <c r="D124" s="1" t="s">
        <v>50</v>
      </c>
      <c r="E124" s="1" t="s">
        <v>58</v>
      </c>
      <c r="F124" s="1">
        <v>11</v>
      </c>
      <c r="G124" s="1" t="s">
        <v>19</v>
      </c>
      <c r="H124" s="1" t="s">
        <v>59</v>
      </c>
      <c r="I124" s="1">
        <v>204</v>
      </c>
      <c r="J124" s="1" t="s">
        <v>21</v>
      </c>
      <c r="K124" s="1">
        <f>+I124*14%</f>
        <v>28.560000000000002</v>
      </c>
      <c r="L124" s="1">
        <f>+I124*0%</f>
        <v>0</v>
      </c>
      <c r="M124" s="1">
        <f>+I124*14%</f>
        <v>28.560000000000002</v>
      </c>
      <c r="N124" s="1">
        <f>+I124*4%</f>
        <v>8.16</v>
      </c>
      <c r="O124" s="1">
        <f>+I124*24%</f>
        <v>48.96</v>
      </c>
    </row>
    <row r="125" spans="1:15" x14ac:dyDescent="0.35">
      <c r="A125" s="1" t="s">
        <v>15</v>
      </c>
      <c r="B125" s="1" t="s">
        <v>21</v>
      </c>
      <c r="C125" s="1" t="s">
        <v>42</v>
      </c>
      <c r="D125" s="1" t="s">
        <v>50</v>
      </c>
      <c r="E125" s="1" t="s">
        <v>60</v>
      </c>
      <c r="F125" s="1">
        <v>12</v>
      </c>
      <c r="G125" s="1" t="s">
        <v>19</v>
      </c>
      <c r="H125" s="1" t="s">
        <v>61</v>
      </c>
      <c r="I125" s="1">
        <v>204</v>
      </c>
      <c r="J125" s="1" t="s">
        <v>21</v>
      </c>
      <c r="K125" s="1">
        <f>+I125*15%</f>
        <v>30.599999999999998</v>
      </c>
      <c r="L125" s="1">
        <f>+I125*5%</f>
        <v>10.200000000000001</v>
      </c>
      <c r="M125" s="1">
        <f>+I125*10%</f>
        <v>20.400000000000002</v>
      </c>
      <c r="N125" s="1">
        <f>+I125*0%</f>
        <v>0</v>
      </c>
      <c r="O125" s="1">
        <f>+I125*36%</f>
        <v>73.44</v>
      </c>
    </row>
    <row r="126" spans="1:15" x14ac:dyDescent="0.35">
      <c r="A126" s="1" t="s">
        <v>15</v>
      </c>
      <c r="B126" s="1" t="s">
        <v>21</v>
      </c>
      <c r="C126" s="1" t="s">
        <v>42</v>
      </c>
      <c r="D126" s="1" t="s">
        <v>50</v>
      </c>
      <c r="E126" s="1" t="s">
        <v>62</v>
      </c>
      <c r="F126" s="1">
        <v>13</v>
      </c>
      <c r="G126" s="1" t="s">
        <v>19</v>
      </c>
      <c r="H126" s="1" t="s">
        <v>56</v>
      </c>
      <c r="I126" s="1">
        <v>204</v>
      </c>
      <c r="J126" s="1" t="s">
        <v>21</v>
      </c>
      <c r="K126" s="1">
        <f>+I126*20%</f>
        <v>40.800000000000004</v>
      </c>
      <c r="L126" s="1">
        <f>+I126*2.5%</f>
        <v>5.1000000000000005</v>
      </c>
      <c r="M126" s="1">
        <f>+I126*17.5%</f>
        <v>35.699999999999996</v>
      </c>
      <c r="N126" s="1">
        <f>+I126*0%</f>
        <v>0</v>
      </c>
      <c r="O126" s="1">
        <f>+I126*30%</f>
        <v>61.199999999999996</v>
      </c>
    </row>
    <row r="127" spans="1:15" x14ac:dyDescent="0.35">
      <c r="A127" s="1" t="s">
        <v>15</v>
      </c>
      <c r="B127" s="1" t="s">
        <v>21</v>
      </c>
      <c r="C127" s="1" t="s">
        <v>42</v>
      </c>
      <c r="D127" s="1" t="s">
        <v>50</v>
      </c>
      <c r="E127" s="1" t="s">
        <v>63</v>
      </c>
      <c r="F127" s="1">
        <v>14</v>
      </c>
      <c r="G127" s="1" t="s">
        <v>19</v>
      </c>
      <c r="H127" s="1" t="s">
        <v>43</v>
      </c>
      <c r="I127" s="1">
        <v>204</v>
      </c>
      <c r="J127" s="1" t="s">
        <v>21</v>
      </c>
      <c r="K127" s="1">
        <f>+I127*20%</f>
        <v>40.800000000000004</v>
      </c>
      <c r="L127" s="1">
        <f>+I127*12.05%</f>
        <v>24.582000000000001</v>
      </c>
      <c r="M127" s="1">
        <f>+I127*7.95%</f>
        <v>16.218</v>
      </c>
      <c r="N127" s="1">
        <f>+I127*3%</f>
        <v>6.12</v>
      </c>
      <c r="O127" s="1">
        <f>+I127*18%</f>
        <v>36.72</v>
      </c>
    </row>
    <row r="128" spans="1:15" x14ac:dyDescent="0.35">
      <c r="A128" s="1" t="s">
        <v>15</v>
      </c>
      <c r="B128" s="1" t="s">
        <v>21</v>
      </c>
      <c r="C128" s="1" t="s">
        <v>42</v>
      </c>
      <c r="D128" s="1" t="s">
        <v>50</v>
      </c>
      <c r="E128" s="1" t="s">
        <v>63</v>
      </c>
      <c r="F128" s="1">
        <v>15</v>
      </c>
      <c r="G128" s="1" t="s">
        <v>19</v>
      </c>
      <c r="H128" s="1" t="s">
        <v>64</v>
      </c>
      <c r="I128" s="1">
        <v>204</v>
      </c>
      <c r="J128" s="1" t="s">
        <v>21</v>
      </c>
      <c r="K128" s="1">
        <f>+I128*14%</f>
        <v>28.560000000000002</v>
      </c>
      <c r="L128" s="1">
        <f t="shared" ref="L128" si="4">+I128*0%</f>
        <v>0</v>
      </c>
      <c r="M128" s="1">
        <f t="shared" ref="M128" si="5">+I128*0%</f>
        <v>0</v>
      </c>
      <c r="N128" s="1">
        <f>+I128*0%</f>
        <v>0</v>
      </c>
      <c r="O128" s="1">
        <f>+I128*60%</f>
        <v>122.39999999999999</v>
      </c>
    </row>
    <row r="129" spans="1:15" x14ac:dyDescent="0.35">
      <c r="A129" s="1" t="s">
        <v>15</v>
      </c>
      <c r="B129" s="1" t="s">
        <v>21</v>
      </c>
      <c r="C129" s="1" t="s">
        <v>42</v>
      </c>
      <c r="D129" s="1" t="s">
        <v>50</v>
      </c>
      <c r="E129" s="1" t="s">
        <v>63</v>
      </c>
      <c r="F129" s="1">
        <v>16</v>
      </c>
      <c r="G129" s="1" t="s">
        <v>19</v>
      </c>
      <c r="H129" s="1" t="s">
        <v>48</v>
      </c>
      <c r="I129" s="1">
        <v>204</v>
      </c>
      <c r="J129" s="1" t="s">
        <v>21</v>
      </c>
      <c r="K129" s="1">
        <f>+I129*15%</f>
        <v>30.599999999999998</v>
      </c>
      <c r="L129" s="1">
        <f>+$I$208*8.3%</f>
        <v>14.110000000000001</v>
      </c>
      <c r="M129" s="1">
        <f>+$I$208*6.7%</f>
        <v>11.39</v>
      </c>
      <c r="N129" s="1">
        <f>+$I$208*4%</f>
        <v>6.8</v>
      </c>
      <c r="O129" s="1">
        <f>+$I$208*23%</f>
        <v>39.1</v>
      </c>
    </row>
    <row r="130" spans="1:15" x14ac:dyDescent="0.35">
      <c r="A130" s="1" t="s">
        <v>38</v>
      </c>
      <c r="B130" s="1" t="s">
        <v>65</v>
      </c>
      <c r="C130" s="1" t="s">
        <v>42</v>
      </c>
      <c r="D130" s="1" t="s">
        <v>17</v>
      </c>
      <c r="E130" s="1" t="s">
        <v>18</v>
      </c>
      <c r="F130" s="1">
        <v>1</v>
      </c>
      <c r="G130" s="1" t="s">
        <v>19</v>
      </c>
      <c r="H130" s="1" t="s">
        <v>43</v>
      </c>
      <c r="I130" s="1">
        <v>204</v>
      </c>
      <c r="J130" s="1" t="s">
        <v>21</v>
      </c>
      <c r="K130" s="1">
        <f>+I130*20%</f>
        <v>40.800000000000004</v>
      </c>
      <c r="L130" s="1">
        <f>+I130*12.05%</f>
        <v>24.582000000000001</v>
      </c>
      <c r="M130" s="1">
        <f>+I130*7.95%</f>
        <v>16.218</v>
      </c>
      <c r="N130" s="1">
        <f>+I130*3%</f>
        <v>6.12</v>
      </c>
      <c r="O130" s="1">
        <f>+I130*18%</f>
        <v>36.72</v>
      </c>
    </row>
    <row r="131" spans="1:15" x14ac:dyDescent="0.35">
      <c r="A131" s="1" t="s">
        <v>38</v>
      </c>
      <c r="B131" s="1" t="s">
        <v>44</v>
      </c>
      <c r="C131" s="1" t="s">
        <v>42</v>
      </c>
      <c r="D131" s="1" t="s">
        <v>17</v>
      </c>
      <c r="E131" s="1" t="s">
        <v>31</v>
      </c>
      <c r="F131" s="1">
        <v>2</v>
      </c>
      <c r="G131" s="1" t="s">
        <v>19</v>
      </c>
      <c r="H131" s="1" t="s">
        <v>45</v>
      </c>
      <c r="I131" s="1">
        <v>204</v>
      </c>
      <c r="J131" s="1" t="s">
        <v>21</v>
      </c>
      <c r="K131" s="1">
        <f>+I131*12%</f>
        <v>24.48</v>
      </c>
      <c r="L131" s="1">
        <v>0</v>
      </c>
      <c r="M131" s="1">
        <v>0</v>
      </c>
      <c r="N131" s="1">
        <v>8.16</v>
      </c>
      <c r="O131" s="1">
        <v>55.08</v>
      </c>
    </row>
    <row r="132" spans="1:15" x14ac:dyDescent="0.35">
      <c r="A132" s="1" t="s">
        <v>38</v>
      </c>
      <c r="B132" s="1" t="s">
        <v>46</v>
      </c>
      <c r="C132" s="1" t="s">
        <v>42</v>
      </c>
      <c r="D132" s="1" t="s">
        <v>17</v>
      </c>
      <c r="E132" s="1" t="s">
        <v>33</v>
      </c>
      <c r="F132" s="1">
        <v>3</v>
      </c>
      <c r="G132" s="1" t="s">
        <v>19</v>
      </c>
      <c r="H132" s="1" t="s">
        <v>45</v>
      </c>
      <c r="I132" s="1">
        <v>204</v>
      </c>
      <c r="J132" s="1" t="s">
        <v>21</v>
      </c>
      <c r="K132" s="1">
        <f>+I132*12%</f>
        <v>24.48</v>
      </c>
      <c r="L132" s="1">
        <v>0</v>
      </c>
      <c r="M132" s="1">
        <v>0</v>
      </c>
      <c r="N132" s="1">
        <v>8.16</v>
      </c>
      <c r="O132" s="1">
        <v>55.08</v>
      </c>
    </row>
    <row r="133" spans="1:15" x14ac:dyDescent="0.35">
      <c r="A133" s="1" t="s">
        <v>38</v>
      </c>
      <c r="B133" s="1" t="s">
        <v>47</v>
      </c>
      <c r="C133" s="1" t="s">
        <v>42</v>
      </c>
      <c r="D133" s="1" t="s">
        <v>17</v>
      </c>
      <c r="E133" s="1" t="s">
        <v>36</v>
      </c>
      <c r="F133" s="1">
        <v>4</v>
      </c>
      <c r="G133" s="1" t="s">
        <v>19</v>
      </c>
      <c r="H133" s="1" t="s">
        <v>43</v>
      </c>
      <c r="I133" s="1">
        <v>204</v>
      </c>
      <c r="J133" s="1" t="s">
        <v>21</v>
      </c>
      <c r="K133" s="1">
        <f t="shared" ref="K133" si="6">+I133*20%</f>
        <v>40.800000000000004</v>
      </c>
      <c r="L133" s="1">
        <f>+I133*12.05%</f>
        <v>24.582000000000001</v>
      </c>
      <c r="M133" s="1">
        <f>+I133*7.95%</f>
        <v>16.218</v>
      </c>
      <c r="N133" s="1">
        <v>6.12</v>
      </c>
      <c r="O133" s="1">
        <v>36.72</v>
      </c>
    </row>
    <row r="134" spans="1:15" x14ac:dyDescent="0.35">
      <c r="A134" s="1" t="s">
        <v>38</v>
      </c>
      <c r="B134" s="1" t="s">
        <v>21</v>
      </c>
      <c r="C134" s="1" t="s">
        <v>42</v>
      </c>
      <c r="D134" s="1" t="s">
        <v>17</v>
      </c>
      <c r="E134" s="1" t="s">
        <v>37</v>
      </c>
      <c r="F134" s="1">
        <v>5</v>
      </c>
      <c r="G134" s="1" t="s">
        <v>19</v>
      </c>
      <c r="H134" s="1" t="s">
        <v>48</v>
      </c>
      <c r="I134" s="1">
        <v>204</v>
      </c>
      <c r="J134" s="1" t="s">
        <v>21</v>
      </c>
      <c r="K134" s="1">
        <f>+I134*15%</f>
        <v>30.599999999999998</v>
      </c>
      <c r="L134" s="1">
        <f>+$I$208*8.3%</f>
        <v>14.110000000000001</v>
      </c>
      <c r="M134" s="1">
        <f>+$I$208*6.7%</f>
        <v>11.39</v>
      </c>
      <c r="N134" s="1">
        <f>+$I$208*4%</f>
        <v>6.8</v>
      </c>
      <c r="O134" s="1">
        <f>+$I$208*23%</f>
        <v>39.1</v>
      </c>
    </row>
    <row r="135" spans="1:15" x14ac:dyDescent="0.35">
      <c r="A135" s="1" t="s">
        <v>38</v>
      </c>
      <c r="B135" s="1" t="s">
        <v>21</v>
      </c>
      <c r="C135" s="1" t="s">
        <v>42</v>
      </c>
      <c r="D135" s="1" t="s">
        <v>17</v>
      </c>
      <c r="E135" s="1" t="s">
        <v>49</v>
      </c>
      <c r="F135" s="1">
        <v>6</v>
      </c>
      <c r="G135" s="1" t="s">
        <v>19</v>
      </c>
      <c r="H135" s="1" t="s">
        <v>43</v>
      </c>
      <c r="I135" s="1">
        <v>204</v>
      </c>
      <c r="J135" s="1" t="s">
        <v>21</v>
      </c>
      <c r="K135" s="1">
        <f>+I135*20%</f>
        <v>40.800000000000004</v>
      </c>
      <c r="L135" s="1">
        <f>+I135*12.05%</f>
        <v>24.582000000000001</v>
      </c>
      <c r="M135" s="1">
        <f>+I135*7.95%</f>
        <v>16.218</v>
      </c>
      <c r="N135" s="1">
        <f>+I135*3%</f>
        <v>6.12</v>
      </c>
      <c r="O135" s="1">
        <f>+I135*18%</f>
        <v>36.72</v>
      </c>
    </row>
    <row r="136" spans="1:15" x14ac:dyDescent="0.35">
      <c r="A136" s="1" t="s">
        <v>38</v>
      </c>
      <c r="B136" s="1" t="s">
        <v>21</v>
      </c>
      <c r="C136" s="1" t="s">
        <v>42</v>
      </c>
      <c r="D136" s="1" t="s">
        <v>50</v>
      </c>
      <c r="E136" s="1" t="s">
        <v>51</v>
      </c>
      <c r="F136" s="1">
        <v>7</v>
      </c>
      <c r="G136" s="1" t="s">
        <v>19</v>
      </c>
      <c r="H136" s="1" t="s">
        <v>52</v>
      </c>
      <c r="I136" s="1">
        <f>+I135*2</f>
        <v>408</v>
      </c>
      <c r="J136" s="1" t="s">
        <v>21</v>
      </c>
      <c r="K136" s="1">
        <f>+I136*0%</f>
        <v>0</v>
      </c>
      <c r="L136" s="1">
        <f>+I136*0%</f>
        <v>0</v>
      </c>
      <c r="M136" s="1">
        <f>+I136*0%</f>
        <v>0</v>
      </c>
      <c r="N136" s="1">
        <f>+I136*3%</f>
        <v>12.24</v>
      </c>
      <c r="O136" s="1">
        <f>+I136*0</f>
        <v>0</v>
      </c>
    </row>
    <row r="137" spans="1:15" x14ac:dyDescent="0.35">
      <c r="A137" s="1" t="s">
        <v>38</v>
      </c>
      <c r="B137" s="1" t="s">
        <v>21</v>
      </c>
      <c r="C137" s="1" t="s">
        <v>42</v>
      </c>
      <c r="D137" s="1" t="s">
        <v>50</v>
      </c>
      <c r="E137" s="1" t="s">
        <v>53</v>
      </c>
      <c r="F137" s="1">
        <v>8</v>
      </c>
      <c r="G137" s="1" t="s">
        <v>19</v>
      </c>
      <c r="H137" s="1" t="s">
        <v>54</v>
      </c>
      <c r="I137" s="1">
        <v>204</v>
      </c>
      <c r="J137" s="1" t="s">
        <v>21</v>
      </c>
      <c r="K137" s="1">
        <f>+I137*12%%</f>
        <v>0.24479999999999999</v>
      </c>
      <c r="L137" s="1">
        <f>+I137*3%</f>
        <v>6.12</v>
      </c>
      <c r="M137" s="1">
        <f>+I137*9%</f>
        <v>18.36</v>
      </c>
      <c r="N137" s="1">
        <f>+I137*24%</f>
        <v>48.96</v>
      </c>
      <c r="O137" s="1">
        <f>+I137*12%</f>
        <v>24.48</v>
      </c>
    </row>
    <row r="138" spans="1:15" x14ac:dyDescent="0.35">
      <c r="A138" s="1" t="s">
        <v>38</v>
      </c>
      <c r="B138" s="1" t="s">
        <v>21</v>
      </c>
      <c r="C138" s="1" t="s">
        <v>42</v>
      </c>
      <c r="D138" s="1" t="s">
        <v>50</v>
      </c>
      <c r="E138" s="1" t="s">
        <v>55</v>
      </c>
      <c r="F138" s="1">
        <v>9</v>
      </c>
      <c r="G138" s="1" t="s">
        <v>19</v>
      </c>
      <c r="H138" s="1" t="s">
        <v>56</v>
      </c>
      <c r="I138" s="1">
        <v>204</v>
      </c>
      <c r="J138" s="1" t="s">
        <v>21</v>
      </c>
      <c r="K138" s="1">
        <f>+I138*20%</f>
        <v>40.800000000000004</v>
      </c>
      <c r="L138" s="1">
        <f>+I138*2.5%</f>
        <v>5.1000000000000005</v>
      </c>
      <c r="M138" s="1">
        <f>+I138*17.5%</f>
        <v>35.699999999999996</v>
      </c>
      <c r="N138" s="1">
        <f>+I138*0%</f>
        <v>0</v>
      </c>
      <c r="O138" s="1">
        <f>+I138*30%</f>
        <v>61.199999999999996</v>
      </c>
    </row>
    <row r="139" spans="1:15" x14ac:dyDescent="0.35">
      <c r="A139" s="1" t="s">
        <v>38</v>
      </c>
      <c r="B139" s="1" t="s">
        <v>21</v>
      </c>
      <c r="C139" s="1" t="s">
        <v>42</v>
      </c>
      <c r="D139" s="1" t="s">
        <v>50</v>
      </c>
      <c r="E139" s="1" t="s">
        <v>57</v>
      </c>
      <c r="F139" s="1">
        <v>10</v>
      </c>
      <c r="G139" s="1" t="s">
        <v>19</v>
      </c>
      <c r="H139" s="1" t="s">
        <v>34</v>
      </c>
      <c r="I139" s="1">
        <v>204</v>
      </c>
      <c r="J139" s="1" t="s">
        <v>21</v>
      </c>
      <c r="K139" s="1">
        <f t="shared" ref="K139" si="7">+I139*0%</f>
        <v>0</v>
      </c>
      <c r="L139" s="1">
        <f t="shared" ref="L139" si="8">+I139*0%</f>
        <v>0</v>
      </c>
      <c r="M139" s="1">
        <f t="shared" ref="M139" si="9">+I139*0%</f>
        <v>0</v>
      </c>
      <c r="N139" s="1">
        <f>+I139*0%</f>
        <v>0</v>
      </c>
      <c r="O139" s="1">
        <f>+I139*60%</f>
        <v>122.39999999999999</v>
      </c>
    </row>
    <row r="140" spans="1:15" x14ac:dyDescent="0.35">
      <c r="A140" s="1" t="s">
        <v>38</v>
      </c>
      <c r="B140" s="1" t="s">
        <v>21</v>
      </c>
      <c r="C140" s="1" t="s">
        <v>42</v>
      </c>
      <c r="D140" s="1" t="s">
        <v>50</v>
      </c>
      <c r="E140" s="1" t="s">
        <v>58</v>
      </c>
      <c r="F140" s="1">
        <v>11</v>
      </c>
      <c r="G140" s="1" t="s">
        <v>19</v>
      </c>
      <c r="H140" s="1" t="s">
        <v>59</v>
      </c>
      <c r="I140" s="1">
        <v>204</v>
      </c>
      <c r="J140" s="1" t="s">
        <v>21</v>
      </c>
      <c r="K140" s="1">
        <f>+I140*14%</f>
        <v>28.560000000000002</v>
      </c>
      <c r="L140" s="1">
        <f>+I140*0%</f>
        <v>0</v>
      </c>
      <c r="M140" s="1">
        <f>+I140*14%</f>
        <v>28.560000000000002</v>
      </c>
      <c r="N140" s="1">
        <f>+I140*4%</f>
        <v>8.16</v>
      </c>
      <c r="O140" s="1">
        <f>+I140*24%</f>
        <v>48.96</v>
      </c>
    </row>
    <row r="141" spans="1:15" x14ac:dyDescent="0.35">
      <c r="A141" s="1" t="s">
        <v>38</v>
      </c>
      <c r="B141" s="1" t="s">
        <v>21</v>
      </c>
      <c r="C141" s="1" t="s">
        <v>42</v>
      </c>
      <c r="D141" s="1" t="s">
        <v>50</v>
      </c>
      <c r="E141" s="1" t="s">
        <v>60</v>
      </c>
      <c r="F141" s="1">
        <v>12</v>
      </c>
      <c r="G141" s="1" t="s">
        <v>19</v>
      </c>
      <c r="H141" s="1" t="s">
        <v>61</v>
      </c>
      <c r="I141" s="1">
        <v>204</v>
      </c>
      <c r="J141" s="1" t="s">
        <v>21</v>
      </c>
      <c r="K141" s="1">
        <f>+I141*15%</f>
        <v>30.599999999999998</v>
      </c>
      <c r="L141" s="1">
        <f>+I141*5%</f>
        <v>10.200000000000001</v>
      </c>
      <c r="M141" s="1">
        <f>+I141*10%</f>
        <v>20.400000000000002</v>
      </c>
      <c r="N141" s="1">
        <f>+I141*0%</f>
        <v>0</v>
      </c>
      <c r="O141" s="1">
        <f>+I141*36%</f>
        <v>73.44</v>
      </c>
    </row>
    <row r="142" spans="1:15" x14ac:dyDescent="0.35">
      <c r="A142" s="1" t="s">
        <v>38</v>
      </c>
      <c r="B142" s="1" t="s">
        <v>21</v>
      </c>
      <c r="C142" s="1" t="s">
        <v>42</v>
      </c>
      <c r="D142" s="1" t="s">
        <v>50</v>
      </c>
      <c r="E142" s="1" t="s">
        <v>62</v>
      </c>
      <c r="F142" s="1">
        <v>13</v>
      </c>
      <c r="G142" s="1" t="s">
        <v>19</v>
      </c>
      <c r="H142" s="1" t="s">
        <v>56</v>
      </c>
      <c r="I142" s="1">
        <v>204</v>
      </c>
      <c r="J142" s="1" t="s">
        <v>21</v>
      </c>
      <c r="K142" s="1">
        <f>+I142*20%</f>
        <v>40.800000000000004</v>
      </c>
      <c r="L142" s="1">
        <f>+I142*2.5%</f>
        <v>5.1000000000000005</v>
      </c>
      <c r="M142" s="1">
        <f>+I142*17.5%</f>
        <v>35.699999999999996</v>
      </c>
      <c r="N142" s="1">
        <f>+I142*0%</f>
        <v>0</v>
      </c>
      <c r="O142" s="1">
        <f>+I142*30%</f>
        <v>61.199999999999996</v>
      </c>
    </row>
    <row r="143" spans="1:15" x14ac:dyDescent="0.35">
      <c r="A143" s="1" t="s">
        <v>38</v>
      </c>
      <c r="B143" s="1" t="s">
        <v>21</v>
      </c>
      <c r="C143" s="1" t="s">
        <v>42</v>
      </c>
      <c r="D143" s="1" t="s">
        <v>50</v>
      </c>
      <c r="E143" s="1" t="s">
        <v>63</v>
      </c>
      <c r="F143" s="1">
        <v>14</v>
      </c>
      <c r="G143" s="1" t="s">
        <v>19</v>
      </c>
      <c r="H143" s="1" t="s">
        <v>43</v>
      </c>
      <c r="I143" s="1">
        <v>204</v>
      </c>
      <c r="J143" s="1" t="s">
        <v>21</v>
      </c>
      <c r="K143" s="1">
        <f>+I143*20%</f>
        <v>40.800000000000004</v>
      </c>
      <c r="L143" s="1">
        <f>+I143*12.05%</f>
        <v>24.582000000000001</v>
      </c>
      <c r="M143" s="1">
        <f>+I143*7.95%</f>
        <v>16.218</v>
      </c>
      <c r="N143" s="1">
        <f>+I143*3%</f>
        <v>6.12</v>
      </c>
      <c r="O143" s="1">
        <f>+I143*18%</f>
        <v>36.72</v>
      </c>
    </row>
    <row r="144" spans="1:15" x14ac:dyDescent="0.35">
      <c r="A144" s="1" t="s">
        <v>38</v>
      </c>
      <c r="B144" s="1" t="s">
        <v>21</v>
      </c>
      <c r="C144" s="1" t="s">
        <v>42</v>
      </c>
      <c r="D144" s="1" t="s">
        <v>50</v>
      </c>
      <c r="E144" s="1" t="s">
        <v>63</v>
      </c>
      <c r="F144" s="1">
        <v>15</v>
      </c>
      <c r="G144" s="1" t="s">
        <v>19</v>
      </c>
      <c r="H144" s="1" t="s">
        <v>64</v>
      </c>
      <c r="I144" s="1">
        <v>204</v>
      </c>
      <c r="J144" s="1" t="s">
        <v>21</v>
      </c>
      <c r="K144" s="1">
        <f>+I144*14%</f>
        <v>28.560000000000002</v>
      </c>
      <c r="L144" s="1">
        <f t="shared" ref="L144" si="10">+I144*0%</f>
        <v>0</v>
      </c>
      <c r="M144" s="1">
        <f t="shared" ref="M144" si="11">+I144*0%</f>
        <v>0</v>
      </c>
      <c r="N144" s="1">
        <f>+I144*0%</f>
        <v>0</v>
      </c>
      <c r="O144" s="1">
        <f>+I144*60%</f>
        <v>122.39999999999999</v>
      </c>
    </row>
    <row r="145" spans="1:15" x14ac:dyDescent="0.35">
      <c r="A145" s="1" t="s">
        <v>38</v>
      </c>
      <c r="B145" s="1" t="s">
        <v>21</v>
      </c>
      <c r="C145" s="1" t="s">
        <v>42</v>
      </c>
      <c r="D145" s="1" t="s">
        <v>50</v>
      </c>
      <c r="E145" s="1" t="s">
        <v>63</v>
      </c>
      <c r="F145" s="1">
        <v>16</v>
      </c>
      <c r="G145" s="1" t="s">
        <v>19</v>
      </c>
      <c r="H145" s="1" t="s">
        <v>48</v>
      </c>
      <c r="I145" s="1">
        <v>204</v>
      </c>
      <c r="J145" s="1" t="s">
        <v>21</v>
      </c>
      <c r="K145" s="1">
        <f>+I145*15%</f>
        <v>30.599999999999998</v>
      </c>
      <c r="L145" s="1">
        <f>+$I$208*8.3%</f>
        <v>14.110000000000001</v>
      </c>
      <c r="M145" s="1">
        <f>+$I$208*6.7%</f>
        <v>11.39</v>
      </c>
      <c r="N145" s="1">
        <f>+$I$208*4%</f>
        <v>6.8</v>
      </c>
      <c r="O145" s="1">
        <f>+$I$208*23%</f>
        <v>39.1</v>
      </c>
    </row>
    <row r="146" spans="1:15" x14ac:dyDescent="0.35">
      <c r="A146" s="1" t="s">
        <v>40</v>
      </c>
      <c r="B146" s="1" t="s">
        <v>66</v>
      </c>
      <c r="C146" s="1" t="s">
        <v>42</v>
      </c>
      <c r="D146" s="1" t="s">
        <v>17</v>
      </c>
      <c r="E146" s="1" t="s">
        <v>18</v>
      </c>
      <c r="F146" s="1">
        <v>1</v>
      </c>
      <c r="G146" s="1" t="s">
        <v>19</v>
      </c>
      <c r="H146" s="1" t="s">
        <v>43</v>
      </c>
      <c r="I146" s="1">
        <v>204</v>
      </c>
      <c r="J146" s="1" t="s">
        <v>21</v>
      </c>
      <c r="K146" s="1">
        <f>+I146*20%</f>
        <v>40.800000000000004</v>
      </c>
      <c r="L146" s="1">
        <f>+I146*12.05%</f>
        <v>24.582000000000001</v>
      </c>
      <c r="M146" s="1">
        <f>+I146*7.95%</f>
        <v>16.218</v>
      </c>
      <c r="N146" s="1">
        <f>+I146*3%</f>
        <v>6.12</v>
      </c>
      <c r="O146" s="1">
        <f>+I146*18%</f>
        <v>36.72</v>
      </c>
    </row>
    <row r="147" spans="1:15" x14ac:dyDescent="0.35">
      <c r="A147" s="1" t="s">
        <v>40</v>
      </c>
      <c r="B147" s="1" t="s">
        <v>44</v>
      </c>
      <c r="C147" s="1" t="s">
        <v>42</v>
      </c>
      <c r="D147" s="1" t="s">
        <v>17</v>
      </c>
      <c r="E147" s="1" t="s">
        <v>31</v>
      </c>
      <c r="F147" s="1">
        <v>2</v>
      </c>
      <c r="G147" s="1" t="s">
        <v>19</v>
      </c>
      <c r="H147" s="1" t="s">
        <v>45</v>
      </c>
      <c r="I147" s="1">
        <v>204</v>
      </c>
      <c r="J147" s="1" t="s">
        <v>21</v>
      </c>
      <c r="K147" s="1">
        <f>+I147*12%</f>
        <v>24.48</v>
      </c>
      <c r="L147" s="1">
        <v>0</v>
      </c>
      <c r="M147" s="1">
        <v>0</v>
      </c>
      <c r="N147" s="1">
        <v>8.16</v>
      </c>
      <c r="O147" s="1">
        <v>55.08</v>
      </c>
    </row>
    <row r="148" spans="1:15" x14ac:dyDescent="0.35">
      <c r="A148" s="1" t="s">
        <v>40</v>
      </c>
      <c r="B148" s="1" t="s">
        <v>67</v>
      </c>
      <c r="C148" s="1" t="s">
        <v>42</v>
      </c>
      <c r="D148" s="1" t="s">
        <v>17</v>
      </c>
      <c r="E148" s="1" t="s">
        <v>33</v>
      </c>
      <c r="F148" s="1">
        <v>3</v>
      </c>
      <c r="G148" s="1" t="s">
        <v>19</v>
      </c>
      <c r="H148" s="1" t="s">
        <v>45</v>
      </c>
      <c r="I148" s="1">
        <v>204</v>
      </c>
      <c r="J148" s="1" t="s">
        <v>21</v>
      </c>
      <c r="K148" s="1">
        <f>+I148*12%</f>
        <v>24.48</v>
      </c>
      <c r="L148" s="1">
        <v>0</v>
      </c>
      <c r="M148" s="1">
        <v>0</v>
      </c>
      <c r="N148" s="1">
        <v>8.16</v>
      </c>
      <c r="O148" s="1">
        <v>55.08</v>
      </c>
    </row>
    <row r="149" spans="1:15" x14ac:dyDescent="0.35">
      <c r="A149" s="1" t="s">
        <v>40</v>
      </c>
      <c r="B149" s="1" t="s">
        <v>68</v>
      </c>
      <c r="C149" s="1" t="s">
        <v>42</v>
      </c>
      <c r="D149" s="1" t="s">
        <v>17</v>
      </c>
      <c r="E149" s="1" t="s">
        <v>36</v>
      </c>
      <c r="F149" s="1">
        <v>4</v>
      </c>
      <c r="G149" s="1" t="s">
        <v>19</v>
      </c>
      <c r="H149" s="1" t="s">
        <v>43</v>
      </c>
      <c r="I149" s="1">
        <v>204</v>
      </c>
      <c r="J149" s="1" t="s">
        <v>21</v>
      </c>
      <c r="K149" s="1">
        <f t="shared" ref="K149" si="12">+I149*20%</f>
        <v>40.800000000000004</v>
      </c>
      <c r="L149" s="1">
        <f>+I149*12.05%</f>
        <v>24.582000000000001</v>
      </c>
      <c r="M149" s="1">
        <f>+I149*7.95%</f>
        <v>16.218</v>
      </c>
      <c r="N149" s="1">
        <v>6.12</v>
      </c>
      <c r="O149" s="1">
        <v>36.72</v>
      </c>
    </row>
    <row r="150" spans="1:15" x14ac:dyDescent="0.35">
      <c r="A150" s="1" t="s">
        <v>40</v>
      </c>
      <c r="B150" s="1" t="s">
        <v>21</v>
      </c>
      <c r="C150" s="1" t="s">
        <v>42</v>
      </c>
      <c r="D150" s="1" t="s">
        <v>17</v>
      </c>
      <c r="E150" s="1" t="s">
        <v>37</v>
      </c>
      <c r="F150" s="1">
        <v>5</v>
      </c>
      <c r="G150" s="1" t="s">
        <v>19</v>
      </c>
      <c r="H150" s="1" t="s">
        <v>48</v>
      </c>
      <c r="I150" s="1">
        <v>204</v>
      </c>
      <c r="J150" s="1" t="s">
        <v>21</v>
      </c>
      <c r="K150" s="1">
        <f>+I150*15%</f>
        <v>30.599999999999998</v>
      </c>
      <c r="L150" s="1">
        <f>+$I$208*8.3%</f>
        <v>14.110000000000001</v>
      </c>
      <c r="M150" s="1">
        <f>+$I$208*6.7%</f>
        <v>11.39</v>
      </c>
      <c r="N150" s="1">
        <f>+$I$208*4%</f>
        <v>6.8</v>
      </c>
      <c r="O150" s="1">
        <f>+$I$208*23%</f>
        <v>39.1</v>
      </c>
    </row>
    <row r="151" spans="1:15" x14ac:dyDescent="0.35">
      <c r="A151" s="1" t="s">
        <v>40</v>
      </c>
      <c r="B151" s="1" t="s">
        <v>21</v>
      </c>
      <c r="C151" s="1" t="s">
        <v>42</v>
      </c>
      <c r="D151" s="1" t="s">
        <v>17</v>
      </c>
      <c r="E151" s="1" t="s">
        <v>49</v>
      </c>
      <c r="F151" s="1">
        <v>6</v>
      </c>
      <c r="G151" s="1" t="s">
        <v>19</v>
      </c>
      <c r="H151" s="1" t="s">
        <v>43</v>
      </c>
      <c r="I151" s="1">
        <v>204</v>
      </c>
      <c r="J151" s="1" t="s">
        <v>21</v>
      </c>
      <c r="K151" s="1">
        <f>+I151*20%</f>
        <v>40.800000000000004</v>
      </c>
      <c r="L151" s="1">
        <f>+I151*12.05%</f>
        <v>24.582000000000001</v>
      </c>
      <c r="M151" s="1">
        <f>+I151*7.95%</f>
        <v>16.218</v>
      </c>
      <c r="N151" s="1">
        <f>+I151*3%</f>
        <v>6.12</v>
      </c>
      <c r="O151" s="1">
        <f>+I151*18%</f>
        <v>36.72</v>
      </c>
    </row>
    <row r="152" spans="1:15" x14ac:dyDescent="0.35">
      <c r="A152" s="1" t="s">
        <v>40</v>
      </c>
      <c r="B152" s="1" t="s">
        <v>21</v>
      </c>
      <c r="C152" s="1" t="s">
        <v>42</v>
      </c>
      <c r="D152" s="1" t="s">
        <v>50</v>
      </c>
      <c r="E152" s="1" t="s">
        <v>51</v>
      </c>
      <c r="F152" s="1">
        <v>7</v>
      </c>
      <c r="G152" s="1" t="s">
        <v>19</v>
      </c>
      <c r="H152" s="1" t="s">
        <v>52</v>
      </c>
      <c r="I152" s="1">
        <f>+I151*2</f>
        <v>408</v>
      </c>
      <c r="J152" s="1" t="s">
        <v>21</v>
      </c>
      <c r="K152" s="1">
        <f>+I152*0%</f>
        <v>0</v>
      </c>
      <c r="L152" s="1">
        <f>+I152*0%</f>
        <v>0</v>
      </c>
      <c r="M152" s="1">
        <f>+I152*0%</f>
        <v>0</v>
      </c>
      <c r="N152" s="1">
        <f>+I152*3%</f>
        <v>12.24</v>
      </c>
      <c r="O152" s="1">
        <f>+I152*0</f>
        <v>0</v>
      </c>
    </row>
    <row r="153" spans="1:15" x14ac:dyDescent="0.35">
      <c r="A153" s="1" t="s">
        <v>40</v>
      </c>
      <c r="B153" s="1" t="s">
        <v>21</v>
      </c>
      <c r="C153" s="1" t="s">
        <v>42</v>
      </c>
      <c r="D153" s="1" t="s">
        <v>50</v>
      </c>
      <c r="E153" s="1" t="s">
        <v>53</v>
      </c>
      <c r="F153" s="1">
        <v>8</v>
      </c>
      <c r="G153" s="1" t="s">
        <v>19</v>
      </c>
      <c r="H153" s="1" t="s">
        <v>54</v>
      </c>
      <c r="I153" s="1">
        <v>204</v>
      </c>
      <c r="J153" s="1" t="s">
        <v>21</v>
      </c>
      <c r="K153" s="1">
        <f>+I153*12%%</f>
        <v>0.24479999999999999</v>
      </c>
      <c r="L153" s="1">
        <f>+I153*3%</f>
        <v>6.12</v>
      </c>
      <c r="M153" s="1">
        <f>+I153*9%</f>
        <v>18.36</v>
      </c>
      <c r="N153" s="1">
        <f>+I153*24%</f>
        <v>48.96</v>
      </c>
      <c r="O153" s="1">
        <f>+I153*12%</f>
        <v>24.48</v>
      </c>
    </row>
    <row r="154" spans="1:15" x14ac:dyDescent="0.35">
      <c r="A154" s="1" t="s">
        <v>40</v>
      </c>
      <c r="B154" s="1" t="s">
        <v>21</v>
      </c>
      <c r="C154" s="1" t="s">
        <v>42</v>
      </c>
      <c r="D154" s="1" t="s">
        <v>50</v>
      </c>
      <c r="E154" s="1" t="s">
        <v>55</v>
      </c>
      <c r="F154" s="1">
        <v>9</v>
      </c>
      <c r="G154" s="1" t="s">
        <v>19</v>
      </c>
      <c r="H154" s="1" t="s">
        <v>56</v>
      </c>
      <c r="I154" s="1">
        <v>204</v>
      </c>
      <c r="J154" s="1" t="s">
        <v>21</v>
      </c>
      <c r="K154" s="1">
        <f>+I154*20%</f>
        <v>40.800000000000004</v>
      </c>
      <c r="L154" s="1">
        <f>+I154*2.5%</f>
        <v>5.1000000000000005</v>
      </c>
      <c r="M154" s="1">
        <f>+I154*17.5%</f>
        <v>35.699999999999996</v>
      </c>
      <c r="N154" s="1">
        <f>+I154*0%</f>
        <v>0</v>
      </c>
      <c r="O154" s="1">
        <f>+I154*30%</f>
        <v>61.199999999999996</v>
      </c>
    </row>
    <row r="155" spans="1:15" x14ac:dyDescent="0.35">
      <c r="A155" s="1" t="s">
        <v>40</v>
      </c>
      <c r="B155" s="1" t="s">
        <v>21</v>
      </c>
      <c r="C155" s="1" t="s">
        <v>42</v>
      </c>
      <c r="D155" s="1" t="s">
        <v>50</v>
      </c>
      <c r="E155" s="1" t="s">
        <v>57</v>
      </c>
      <c r="F155" s="1">
        <v>10</v>
      </c>
      <c r="G155" s="1" t="s">
        <v>19</v>
      </c>
      <c r="H155" s="1" t="s">
        <v>34</v>
      </c>
      <c r="I155" s="1">
        <v>204</v>
      </c>
      <c r="J155" s="1" t="s">
        <v>21</v>
      </c>
      <c r="K155" s="1">
        <f t="shared" ref="K155" si="13">+I155*0%</f>
        <v>0</v>
      </c>
      <c r="L155" s="1">
        <f t="shared" ref="L155" si="14">+I155*0%</f>
        <v>0</v>
      </c>
      <c r="M155" s="1">
        <f t="shared" ref="M155" si="15">+I155*0%</f>
        <v>0</v>
      </c>
      <c r="N155" s="1">
        <f>+I155*0%</f>
        <v>0</v>
      </c>
      <c r="O155" s="1">
        <f>+I155*60%</f>
        <v>122.39999999999999</v>
      </c>
    </row>
    <row r="156" spans="1:15" x14ac:dyDescent="0.35">
      <c r="A156" s="1" t="s">
        <v>40</v>
      </c>
      <c r="B156" s="1" t="s">
        <v>21</v>
      </c>
      <c r="C156" s="1" t="s">
        <v>42</v>
      </c>
      <c r="D156" s="1" t="s">
        <v>50</v>
      </c>
      <c r="E156" s="1" t="s">
        <v>58</v>
      </c>
      <c r="F156" s="1">
        <v>11</v>
      </c>
      <c r="G156" s="1" t="s">
        <v>19</v>
      </c>
      <c r="H156" s="1" t="s">
        <v>59</v>
      </c>
      <c r="I156" s="1">
        <v>204</v>
      </c>
      <c r="J156" s="1" t="s">
        <v>21</v>
      </c>
      <c r="K156" s="1">
        <f>+I156*14%</f>
        <v>28.560000000000002</v>
      </c>
      <c r="L156" s="1">
        <f>+I156*0%</f>
        <v>0</v>
      </c>
      <c r="M156" s="1">
        <f>+I156*14%</f>
        <v>28.560000000000002</v>
      </c>
      <c r="N156" s="1">
        <f>+I156*4%</f>
        <v>8.16</v>
      </c>
      <c r="O156" s="1">
        <f>+I156*24%</f>
        <v>48.96</v>
      </c>
    </row>
    <row r="157" spans="1:15" x14ac:dyDescent="0.35">
      <c r="A157" s="1" t="s">
        <v>40</v>
      </c>
      <c r="B157" s="1" t="s">
        <v>21</v>
      </c>
      <c r="C157" s="1" t="s">
        <v>42</v>
      </c>
      <c r="D157" s="1" t="s">
        <v>50</v>
      </c>
      <c r="E157" s="1" t="s">
        <v>60</v>
      </c>
      <c r="F157" s="1">
        <v>12</v>
      </c>
      <c r="G157" s="1" t="s">
        <v>19</v>
      </c>
      <c r="H157" s="1" t="s">
        <v>61</v>
      </c>
      <c r="I157" s="1">
        <v>204</v>
      </c>
      <c r="J157" s="1" t="s">
        <v>21</v>
      </c>
      <c r="K157" s="1">
        <f>+I157*15%</f>
        <v>30.599999999999998</v>
      </c>
      <c r="L157" s="1">
        <f>+I157*5%</f>
        <v>10.200000000000001</v>
      </c>
      <c r="M157" s="1">
        <f>+I157*10%</f>
        <v>20.400000000000002</v>
      </c>
      <c r="N157" s="1">
        <f>+I157*0%</f>
        <v>0</v>
      </c>
      <c r="O157" s="1">
        <f>+I157*36%</f>
        <v>73.44</v>
      </c>
    </row>
    <row r="158" spans="1:15" x14ac:dyDescent="0.35">
      <c r="A158" s="1" t="s">
        <v>40</v>
      </c>
      <c r="B158" s="1" t="s">
        <v>21</v>
      </c>
      <c r="C158" s="1" t="s">
        <v>42</v>
      </c>
      <c r="D158" s="1" t="s">
        <v>50</v>
      </c>
      <c r="E158" s="1" t="s">
        <v>62</v>
      </c>
      <c r="F158" s="1">
        <v>13</v>
      </c>
      <c r="G158" s="1" t="s">
        <v>19</v>
      </c>
      <c r="H158" s="1" t="s">
        <v>56</v>
      </c>
      <c r="I158" s="1">
        <v>204</v>
      </c>
      <c r="J158" s="1" t="s">
        <v>21</v>
      </c>
      <c r="K158" s="1">
        <f>+I158*20%</f>
        <v>40.800000000000004</v>
      </c>
      <c r="L158" s="1">
        <f>+I158*2.5%</f>
        <v>5.1000000000000005</v>
      </c>
      <c r="M158" s="1">
        <f>+I158*17.5%</f>
        <v>35.699999999999996</v>
      </c>
      <c r="N158" s="1">
        <f>+I158*0%</f>
        <v>0</v>
      </c>
      <c r="O158" s="1">
        <f>+I158*30%</f>
        <v>61.199999999999996</v>
      </c>
    </row>
    <row r="159" spans="1:15" x14ac:dyDescent="0.35">
      <c r="A159" s="1" t="s">
        <v>40</v>
      </c>
      <c r="B159" s="1" t="s">
        <v>21</v>
      </c>
      <c r="C159" s="1" t="s">
        <v>42</v>
      </c>
      <c r="D159" s="1" t="s">
        <v>50</v>
      </c>
      <c r="E159" s="1" t="s">
        <v>63</v>
      </c>
      <c r="F159" s="1">
        <v>14</v>
      </c>
      <c r="G159" s="1" t="s">
        <v>19</v>
      </c>
      <c r="H159" s="1" t="s">
        <v>43</v>
      </c>
      <c r="I159" s="1">
        <v>204</v>
      </c>
      <c r="J159" s="1" t="s">
        <v>21</v>
      </c>
      <c r="K159" s="1">
        <f>+I159*20%</f>
        <v>40.800000000000004</v>
      </c>
      <c r="L159" s="1">
        <f>+I159*12.05%</f>
        <v>24.582000000000001</v>
      </c>
      <c r="M159" s="1">
        <f>+I159*7.95%</f>
        <v>16.218</v>
      </c>
      <c r="N159" s="1">
        <f>+I159*3%</f>
        <v>6.12</v>
      </c>
      <c r="O159" s="1">
        <f>+I159*18%</f>
        <v>36.72</v>
      </c>
    </row>
    <row r="160" spans="1:15" x14ac:dyDescent="0.35">
      <c r="A160" s="1" t="s">
        <v>40</v>
      </c>
      <c r="B160" s="1" t="s">
        <v>21</v>
      </c>
      <c r="C160" s="1" t="s">
        <v>42</v>
      </c>
      <c r="D160" s="1" t="s">
        <v>50</v>
      </c>
      <c r="E160" s="1" t="s">
        <v>69</v>
      </c>
      <c r="F160" s="1">
        <v>15</v>
      </c>
      <c r="G160" s="1" t="s">
        <v>19</v>
      </c>
      <c r="H160" s="1" t="s">
        <v>64</v>
      </c>
      <c r="I160" s="1">
        <v>204</v>
      </c>
      <c r="J160" s="1" t="s">
        <v>21</v>
      </c>
      <c r="K160" s="1">
        <f>+I160*14%</f>
        <v>28.560000000000002</v>
      </c>
      <c r="L160" s="1">
        <f t="shared" ref="L160" si="16">+I160*0%</f>
        <v>0</v>
      </c>
      <c r="M160" s="1">
        <f t="shared" ref="M160" si="17">+I160*0%</f>
        <v>0</v>
      </c>
      <c r="N160" s="1">
        <f>+I160*0%</f>
        <v>0</v>
      </c>
      <c r="O160" s="1">
        <f>+I160*60%</f>
        <v>122.39999999999999</v>
      </c>
    </row>
    <row r="161" spans="1:15" x14ac:dyDescent="0.35">
      <c r="A161" s="1" t="s">
        <v>40</v>
      </c>
      <c r="B161" s="1" t="s">
        <v>21</v>
      </c>
      <c r="C161" s="1" t="s">
        <v>42</v>
      </c>
      <c r="D161" s="1" t="s">
        <v>50</v>
      </c>
      <c r="E161" s="1" t="s">
        <v>70</v>
      </c>
      <c r="F161" s="1">
        <v>16</v>
      </c>
      <c r="G161" s="1" t="s">
        <v>19</v>
      </c>
      <c r="H161" s="1" t="s">
        <v>48</v>
      </c>
      <c r="I161" s="1">
        <v>204</v>
      </c>
      <c r="J161" s="1" t="s">
        <v>21</v>
      </c>
      <c r="K161" s="1">
        <f>+I161*15%</f>
        <v>30.599999999999998</v>
      </c>
      <c r="L161" s="1">
        <f>+$I$208*8.3%</f>
        <v>14.110000000000001</v>
      </c>
      <c r="M161" s="1">
        <f>+$I$208*6.7%</f>
        <v>11.39</v>
      </c>
      <c r="N161" s="1">
        <f>+$I$208*4%</f>
        <v>6.8</v>
      </c>
      <c r="O161" s="1">
        <f>+$I$208*23%</f>
        <v>39.1</v>
      </c>
    </row>
    <row r="162" spans="1:15" x14ac:dyDescent="0.35">
      <c r="A162" s="1" t="s">
        <v>15</v>
      </c>
      <c r="B162" s="1" t="s">
        <v>71</v>
      </c>
      <c r="C162" s="1" t="s">
        <v>42</v>
      </c>
      <c r="D162" s="1" t="s">
        <v>17</v>
      </c>
      <c r="E162" s="1" t="s">
        <v>18</v>
      </c>
      <c r="F162" s="1">
        <v>1</v>
      </c>
      <c r="G162" s="1" t="s">
        <v>27</v>
      </c>
      <c r="H162" s="1" t="s">
        <v>48</v>
      </c>
      <c r="I162" s="1">
        <v>204</v>
      </c>
      <c r="J162" s="1" t="s">
        <v>21</v>
      </c>
      <c r="K162" s="1">
        <f>+I162*15%</f>
        <v>30.599999999999998</v>
      </c>
      <c r="L162" s="1">
        <f>+I162*8.3%</f>
        <v>16.932000000000002</v>
      </c>
      <c r="M162" s="1">
        <f>+I162*6.7%</f>
        <v>13.668000000000001</v>
      </c>
      <c r="N162" s="1">
        <f>+I162*4%</f>
        <v>8.16</v>
      </c>
      <c r="O162" s="1">
        <f>+I162*23%</f>
        <v>46.92</v>
      </c>
    </row>
    <row r="163" spans="1:15" x14ac:dyDescent="0.35">
      <c r="A163" s="1" t="s">
        <v>15</v>
      </c>
      <c r="B163" s="1" t="s">
        <v>72</v>
      </c>
      <c r="C163" s="1" t="s">
        <v>42</v>
      </c>
      <c r="D163" s="1" t="s">
        <v>17</v>
      </c>
      <c r="E163" s="1" t="s">
        <v>31</v>
      </c>
      <c r="F163" s="1">
        <v>2</v>
      </c>
      <c r="G163" s="1" t="s">
        <v>27</v>
      </c>
      <c r="H163" s="1" t="s">
        <v>73</v>
      </c>
      <c r="I163" s="1">
        <v>204</v>
      </c>
      <c r="J163" s="1" t="s">
        <v>21</v>
      </c>
      <c r="K163" s="1">
        <f>+I163*12%</f>
        <v>24.48</v>
      </c>
      <c r="L163" s="1">
        <f>+I163*0.7%</f>
        <v>1.4279999999999999</v>
      </c>
      <c r="M163" s="1">
        <f>+I163*11%</f>
        <v>22.44</v>
      </c>
      <c r="N163" s="1">
        <f>+I163*4%</f>
        <v>8.16</v>
      </c>
      <c r="O163" s="1">
        <f>+I163*27%</f>
        <v>55.080000000000005</v>
      </c>
    </row>
    <row r="164" spans="1:15" x14ac:dyDescent="0.35">
      <c r="A164" s="1" t="s">
        <v>15</v>
      </c>
      <c r="B164" s="1" t="s">
        <v>46</v>
      </c>
      <c r="C164" s="1" t="s">
        <v>42</v>
      </c>
      <c r="D164" s="1" t="s">
        <v>17</v>
      </c>
      <c r="E164" s="1" t="s">
        <v>33</v>
      </c>
      <c r="F164" s="1">
        <v>3</v>
      </c>
      <c r="G164" s="1" t="s">
        <v>27</v>
      </c>
      <c r="H164" s="1" t="s">
        <v>74</v>
      </c>
      <c r="I164" s="1">
        <v>170</v>
      </c>
      <c r="J164" s="1" t="s">
        <v>21</v>
      </c>
      <c r="K164" s="1">
        <f>+I164*12%</f>
        <v>20.399999999999999</v>
      </c>
      <c r="L164" s="1">
        <f t="shared" ref="L164:L165" si="18">+I164*0.7%</f>
        <v>1.19</v>
      </c>
      <c r="M164" s="1">
        <f t="shared" ref="M164:M165" si="19">+I164*11%</f>
        <v>18.7</v>
      </c>
      <c r="N164" s="1">
        <f t="shared" ref="N164:N165" si="20">+I164*4%</f>
        <v>6.8</v>
      </c>
      <c r="O164" s="1">
        <f t="shared" ref="O164:O165" si="21">+I164*27%</f>
        <v>45.900000000000006</v>
      </c>
    </row>
    <row r="165" spans="1:15" x14ac:dyDescent="0.35">
      <c r="A165" s="1" t="s">
        <v>15</v>
      </c>
      <c r="B165" s="1" t="s">
        <v>47</v>
      </c>
      <c r="C165" s="1" t="s">
        <v>42</v>
      </c>
      <c r="D165" s="1" t="s">
        <v>17</v>
      </c>
      <c r="E165" s="1" t="s">
        <v>36</v>
      </c>
      <c r="F165" s="1">
        <v>4</v>
      </c>
      <c r="G165" s="1" t="s">
        <v>27</v>
      </c>
      <c r="H165" s="1" t="s">
        <v>74</v>
      </c>
      <c r="I165" s="1">
        <v>204</v>
      </c>
      <c r="J165" s="1" t="s">
        <v>21</v>
      </c>
      <c r="K165" s="1">
        <f>+I165*12%</f>
        <v>24.48</v>
      </c>
      <c r="L165" s="1">
        <f t="shared" si="18"/>
        <v>1.4279999999999999</v>
      </c>
      <c r="M165" s="1">
        <f t="shared" si="19"/>
        <v>22.44</v>
      </c>
      <c r="N165" s="1">
        <f t="shared" si="20"/>
        <v>8.16</v>
      </c>
      <c r="O165" s="1">
        <f t="shared" si="21"/>
        <v>55.080000000000005</v>
      </c>
    </row>
    <row r="166" spans="1:15" x14ac:dyDescent="0.35">
      <c r="A166" s="1" t="s">
        <v>15</v>
      </c>
      <c r="B166" s="1" t="s">
        <v>21</v>
      </c>
      <c r="C166" s="1" t="s">
        <v>42</v>
      </c>
      <c r="D166" s="1" t="s">
        <v>17</v>
      </c>
      <c r="E166" s="1" t="s">
        <v>37</v>
      </c>
      <c r="F166" s="1">
        <v>5</v>
      </c>
      <c r="G166" s="1" t="s">
        <v>27</v>
      </c>
      <c r="H166" s="1" t="s">
        <v>48</v>
      </c>
      <c r="I166" s="1">
        <v>136</v>
      </c>
      <c r="J166" s="1" t="s">
        <v>21</v>
      </c>
      <c r="K166" s="1">
        <f>+I166*15%</f>
        <v>20.399999999999999</v>
      </c>
      <c r="L166" s="1">
        <f>+$I$208*8.3%</f>
        <v>14.110000000000001</v>
      </c>
      <c r="M166" s="1">
        <f>+$I$208*6.7%</f>
        <v>11.39</v>
      </c>
      <c r="N166" s="1">
        <f>+$I$208*4%</f>
        <v>6.8</v>
      </c>
      <c r="O166" s="1">
        <f>+$I$208*23%</f>
        <v>39.1</v>
      </c>
    </row>
    <row r="167" spans="1:15" x14ac:dyDescent="0.35">
      <c r="A167" s="1" t="s">
        <v>15</v>
      </c>
      <c r="B167" s="1" t="s">
        <v>21</v>
      </c>
      <c r="C167" s="1" t="s">
        <v>42</v>
      </c>
      <c r="D167" s="1" t="s">
        <v>17</v>
      </c>
      <c r="E167" s="1" t="s">
        <v>49</v>
      </c>
      <c r="F167" s="1">
        <v>6</v>
      </c>
      <c r="G167" s="1" t="s">
        <v>27</v>
      </c>
      <c r="H167" s="1" t="s">
        <v>75</v>
      </c>
      <c r="I167" s="1">
        <v>136</v>
      </c>
      <c r="J167" s="1" t="s">
        <v>21</v>
      </c>
      <c r="K167" s="1">
        <f>+I167*13%</f>
        <v>17.68</v>
      </c>
      <c r="L167" s="1">
        <f>+I167*1.5%</f>
        <v>2.04</v>
      </c>
      <c r="M167" s="1">
        <f>+I167*11.5%</f>
        <v>15.64</v>
      </c>
      <c r="N167" s="1">
        <f>+I167*5%</f>
        <v>6.8000000000000007</v>
      </c>
      <c r="O167" s="1">
        <f>+I167*30%</f>
        <v>40.799999999999997</v>
      </c>
    </row>
    <row r="168" spans="1:15" x14ac:dyDescent="0.35">
      <c r="A168" s="1" t="s">
        <v>15</v>
      </c>
      <c r="B168" s="1" t="s">
        <v>21</v>
      </c>
      <c r="C168" s="1" t="s">
        <v>42</v>
      </c>
      <c r="D168" s="1" t="s">
        <v>50</v>
      </c>
      <c r="E168" s="1" t="s">
        <v>51</v>
      </c>
      <c r="F168" s="1">
        <v>7</v>
      </c>
      <c r="G168" s="1" t="s">
        <v>27</v>
      </c>
      <c r="H168" s="1" t="s">
        <v>75</v>
      </c>
      <c r="I168" s="1">
        <v>136</v>
      </c>
      <c r="J168" s="1" t="s">
        <v>21</v>
      </c>
      <c r="K168" s="1">
        <f t="shared" ref="K168:K173" si="22">+I168*13%</f>
        <v>17.68</v>
      </c>
      <c r="L168" s="1">
        <f t="shared" ref="L168:L173" si="23">+I168*1.5%</f>
        <v>2.04</v>
      </c>
      <c r="M168" s="1">
        <f t="shared" ref="M168:M173" si="24">+I168*11.5%</f>
        <v>15.64</v>
      </c>
      <c r="N168" s="1">
        <f t="shared" ref="N168:N173" si="25">+I168*5%</f>
        <v>6.8000000000000007</v>
      </c>
      <c r="O168" s="1">
        <f t="shared" ref="O168:O173" si="26">+I168*30%</f>
        <v>40.799999999999997</v>
      </c>
    </row>
    <row r="169" spans="1:15" x14ac:dyDescent="0.35">
      <c r="A169" s="1" t="s">
        <v>15</v>
      </c>
      <c r="B169" s="1" t="s">
        <v>21</v>
      </c>
      <c r="C169" s="1" t="s">
        <v>42</v>
      </c>
      <c r="D169" s="1" t="s">
        <v>50</v>
      </c>
      <c r="E169" s="1" t="s">
        <v>53</v>
      </c>
      <c r="F169" s="1">
        <v>8</v>
      </c>
      <c r="G169" s="1" t="s">
        <v>27</v>
      </c>
      <c r="H169" s="1" t="s">
        <v>75</v>
      </c>
      <c r="I169" s="1">
        <v>136</v>
      </c>
      <c r="J169" s="1" t="s">
        <v>21</v>
      </c>
      <c r="K169" s="1">
        <f t="shared" si="22"/>
        <v>17.68</v>
      </c>
      <c r="L169" s="1">
        <f t="shared" si="23"/>
        <v>2.04</v>
      </c>
      <c r="M169" s="1">
        <f t="shared" si="24"/>
        <v>15.64</v>
      </c>
      <c r="N169" s="1">
        <f t="shared" si="25"/>
        <v>6.8000000000000007</v>
      </c>
      <c r="O169" s="1">
        <f t="shared" si="26"/>
        <v>40.799999999999997</v>
      </c>
    </row>
    <row r="170" spans="1:15" x14ac:dyDescent="0.35">
      <c r="A170" s="1" t="s">
        <v>15</v>
      </c>
      <c r="B170" s="1" t="s">
        <v>21</v>
      </c>
      <c r="C170" s="1" t="s">
        <v>42</v>
      </c>
      <c r="D170" s="1" t="s">
        <v>50</v>
      </c>
      <c r="E170" s="1" t="s">
        <v>55</v>
      </c>
      <c r="F170" s="1">
        <v>9</v>
      </c>
      <c r="G170" s="1" t="s">
        <v>27</v>
      </c>
      <c r="H170" s="1" t="s">
        <v>75</v>
      </c>
      <c r="I170" s="1">
        <v>204</v>
      </c>
      <c r="J170" s="1" t="s">
        <v>21</v>
      </c>
      <c r="K170" s="1">
        <f t="shared" si="22"/>
        <v>26.52</v>
      </c>
      <c r="L170" s="1">
        <f t="shared" si="23"/>
        <v>3.06</v>
      </c>
      <c r="M170" s="1">
        <f t="shared" si="24"/>
        <v>23.46</v>
      </c>
      <c r="N170" s="1">
        <f t="shared" si="25"/>
        <v>10.200000000000001</v>
      </c>
      <c r="O170" s="1">
        <f t="shared" si="26"/>
        <v>61.199999999999996</v>
      </c>
    </row>
    <row r="171" spans="1:15" x14ac:dyDescent="0.35">
      <c r="A171" s="1" t="s">
        <v>15</v>
      </c>
      <c r="B171" s="1" t="s">
        <v>21</v>
      </c>
      <c r="C171" s="1" t="s">
        <v>42</v>
      </c>
      <c r="D171" s="1" t="s">
        <v>50</v>
      </c>
      <c r="E171" s="1" t="s">
        <v>57</v>
      </c>
      <c r="F171" s="1">
        <v>10</v>
      </c>
      <c r="G171" s="1" t="s">
        <v>27</v>
      </c>
      <c r="H171" s="1" t="s">
        <v>75</v>
      </c>
      <c r="I171" s="1">
        <v>204</v>
      </c>
      <c r="J171" s="1" t="s">
        <v>21</v>
      </c>
      <c r="K171" s="1">
        <f t="shared" si="22"/>
        <v>26.52</v>
      </c>
      <c r="L171" s="1">
        <f t="shared" si="23"/>
        <v>3.06</v>
      </c>
      <c r="M171" s="1">
        <f t="shared" si="24"/>
        <v>23.46</v>
      </c>
      <c r="N171" s="1">
        <f t="shared" si="25"/>
        <v>10.200000000000001</v>
      </c>
      <c r="O171" s="1">
        <f t="shared" si="26"/>
        <v>61.199999999999996</v>
      </c>
    </row>
    <row r="172" spans="1:15" x14ac:dyDescent="0.35">
      <c r="A172" s="1" t="s">
        <v>15</v>
      </c>
      <c r="B172" s="1" t="s">
        <v>21</v>
      </c>
      <c r="C172" s="1" t="s">
        <v>42</v>
      </c>
      <c r="D172" s="1" t="s">
        <v>50</v>
      </c>
      <c r="E172" s="1" t="s">
        <v>58</v>
      </c>
      <c r="F172" s="1">
        <v>11</v>
      </c>
      <c r="G172" s="1" t="s">
        <v>27</v>
      </c>
      <c r="H172" s="1" t="s">
        <v>75</v>
      </c>
      <c r="I172" s="1">
        <v>204</v>
      </c>
      <c r="J172" s="1" t="s">
        <v>21</v>
      </c>
      <c r="K172" s="1">
        <f t="shared" si="22"/>
        <v>26.52</v>
      </c>
      <c r="L172" s="1">
        <f t="shared" si="23"/>
        <v>3.06</v>
      </c>
      <c r="M172" s="1">
        <f t="shared" si="24"/>
        <v>23.46</v>
      </c>
      <c r="N172" s="1">
        <f t="shared" si="25"/>
        <v>10.200000000000001</v>
      </c>
      <c r="O172" s="1">
        <f t="shared" si="26"/>
        <v>61.199999999999996</v>
      </c>
    </row>
    <row r="173" spans="1:15" x14ac:dyDescent="0.35">
      <c r="A173" s="1" t="s">
        <v>15</v>
      </c>
      <c r="B173" s="1" t="s">
        <v>21</v>
      </c>
      <c r="C173" s="1" t="s">
        <v>42</v>
      </c>
      <c r="D173" s="1" t="s">
        <v>50</v>
      </c>
      <c r="E173" s="1" t="s">
        <v>60</v>
      </c>
      <c r="F173" s="1">
        <v>12</v>
      </c>
      <c r="G173" s="1" t="s">
        <v>27</v>
      </c>
      <c r="H173" s="1" t="s">
        <v>75</v>
      </c>
      <c r="I173" s="1">
        <v>204</v>
      </c>
      <c r="J173" s="1" t="s">
        <v>21</v>
      </c>
      <c r="K173" s="1">
        <f t="shared" si="22"/>
        <v>26.52</v>
      </c>
      <c r="L173" s="1">
        <f t="shared" si="23"/>
        <v>3.06</v>
      </c>
      <c r="M173" s="1">
        <f t="shared" si="24"/>
        <v>23.46</v>
      </c>
      <c r="N173" s="1">
        <f t="shared" si="25"/>
        <v>10.200000000000001</v>
      </c>
      <c r="O173" s="1">
        <f t="shared" si="26"/>
        <v>61.199999999999996</v>
      </c>
    </row>
    <row r="174" spans="1:15" x14ac:dyDescent="0.35">
      <c r="A174" s="1" t="s">
        <v>15</v>
      </c>
      <c r="B174" s="1" t="s">
        <v>21</v>
      </c>
      <c r="C174" s="1" t="s">
        <v>42</v>
      </c>
      <c r="D174" s="1" t="s">
        <v>50</v>
      </c>
      <c r="E174" s="1" t="s">
        <v>62</v>
      </c>
      <c r="F174" s="1">
        <v>13</v>
      </c>
      <c r="G174" s="1" t="s">
        <v>27</v>
      </c>
      <c r="H174" s="1" t="s">
        <v>76</v>
      </c>
      <c r="I174" s="1">
        <v>204</v>
      </c>
      <c r="J174" s="1" t="s">
        <v>21</v>
      </c>
      <c r="K174" s="1">
        <f>+I174*15%</f>
        <v>30.599999999999998</v>
      </c>
      <c r="L174" s="1">
        <f>+I174*0%</f>
        <v>0</v>
      </c>
      <c r="M174" s="1">
        <f>+I174*0%</f>
        <v>0</v>
      </c>
      <c r="N174" s="1">
        <f>+I174*0%</f>
        <v>0</v>
      </c>
      <c r="O174" s="1">
        <f>+I174*0%</f>
        <v>0</v>
      </c>
    </row>
    <row r="175" spans="1:15" x14ac:dyDescent="0.35">
      <c r="A175" s="1" t="s">
        <v>15</v>
      </c>
      <c r="B175" s="1" t="s">
        <v>21</v>
      </c>
      <c r="C175" s="1" t="s">
        <v>42</v>
      </c>
      <c r="D175" s="1" t="s">
        <v>50</v>
      </c>
      <c r="E175" s="1" t="s">
        <v>63</v>
      </c>
      <c r="F175" s="1">
        <v>14</v>
      </c>
      <c r="G175" s="1" t="s">
        <v>27</v>
      </c>
      <c r="H175" s="1" t="s">
        <v>48</v>
      </c>
      <c r="I175" s="1">
        <v>204</v>
      </c>
      <c r="J175" s="1" t="s">
        <v>21</v>
      </c>
      <c r="K175" s="1">
        <f>+I175*15%</f>
        <v>30.599999999999998</v>
      </c>
      <c r="L175" s="1">
        <f>+$I$208*8.3%</f>
        <v>14.110000000000001</v>
      </c>
      <c r="M175" s="1">
        <f>+$I$208*6.7%</f>
        <v>11.39</v>
      </c>
      <c r="N175" s="1">
        <f>+$I$208*4%</f>
        <v>6.8</v>
      </c>
      <c r="O175" s="1">
        <f>+$I$208*23%</f>
        <v>39.1</v>
      </c>
    </row>
    <row r="176" spans="1:15" x14ac:dyDescent="0.35">
      <c r="A176" s="1" t="s">
        <v>38</v>
      </c>
      <c r="B176" s="1" t="s">
        <v>71</v>
      </c>
      <c r="C176" s="1" t="s">
        <v>42</v>
      </c>
      <c r="D176" s="1" t="s">
        <v>17</v>
      </c>
      <c r="E176" s="1" t="s">
        <v>18</v>
      </c>
      <c r="F176" s="1">
        <v>1</v>
      </c>
      <c r="G176" s="1" t="s">
        <v>27</v>
      </c>
      <c r="H176" s="1" t="s">
        <v>48</v>
      </c>
      <c r="I176" s="1">
        <v>238</v>
      </c>
      <c r="J176" s="1" t="s">
        <v>21</v>
      </c>
      <c r="K176" s="1">
        <f>+I176*15%</f>
        <v>35.699999999999996</v>
      </c>
      <c r="L176" s="1">
        <f>+I176*8.3%</f>
        <v>19.754000000000001</v>
      </c>
      <c r="M176" s="1">
        <f>+I176*6.7%</f>
        <v>15.946000000000002</v>
      </c>
      <c r="N176" s="1">
        <f>+I176*4%</f>
        <v>9.52</v>
      </c>
      <c r="O176" s="1">
        <f>+I176*23%</f>
        <v>54.74</v>
      </c>
    </row>
    <row r="177" spans="1:15" x14ac:dyDescent="0.35">
      <c r="A177" s="1" t="s">
        <v>38</v>
      </c>
      <c r="B177" s="1" t="s">
        <v>72</v>
      </c>
      <c r="C177" s="1" t="s">
        <v>42</v>
      </c>
      <c r="D177" s="1" t="s">
        <v>17</v>
      </c>
      <c r="E177" s="1" t="s">
        <v>31</v>
      </c>
      <c r="F177" s="1">
        <v>2</v>
      </c>
      <c r="G177" s="1" t="s">
        <v>27</v>
      </c>
      <c r="H177" s="1" t="s">
        <v>73</v>
      </c>
      <c r="I177" s="1">
        <v>238</v>
      </c>
      <c r="J177" s="1" t="s">
        <v>21</v>
      </c>
      <c r="K177" s="1">
        <f>+I177*12%</f>
        <v>28.56</v>
      </c>
      <c r="L177" s="1">
        <f>+I177*0.7%</f>
        <v>1.6659999999999999</v>
      </c>
      <c r="M177" s="1">
        <f>+I177*11%</f>
        <v>26.18</v>
      </c>
      <c r="N177" s="1">
        <f>+I177*4%</f>
        <v>9.52</v>
      </c>
      <c r="O177" s="1">
        <f>+I177*27%</f>
        <v>64.260000000000005</v>
      </c>
    </row>
    <row r="178" spans="1:15" x14ac:dyDescent="0.35">
      <c r="A178" s="1" t="s">
        <v>38</v>
      </c>
      <c r="B178" s="1" t="s">
        <v>46</v>
      </c>
      <c r="C178" s="1" t="s">
        <v>42</v>
      </c>
      <c r="D178" s="1" t="s">
        <v>17</v>
      </c>
      <c r="E178" s="1" t="s">
        <v>33</v>
      </c>
      <c r="F178" s="1">
        <v>3</v>
      </c>
      <c r="G178" s="1" t="s">
        <v>27</v>
      </c>
      <c r="H178" s="1" t="s">
        <v>74</v>
      </c>
      <c r="I178" s="1">
        <v>204</v>
      </c>
      <c r="J178" s="1" t="s">
        <v>21</v>
      </c>
      <c r="K178" s="1">
        <f>+I178*12%</f>
        <v>24.48</v>
      </c>
      <c r="L178" s="1">
        <f t="shared" ref="L178:L179" si="27">+I178*0.7%</f>
        <v>1.4279999999999999</v>
      </c>
      <c r="M178" s="1">
        <f t="shared" ref="M178:M179" si="28">+I178*11%</f>
        <v>22.44</v>
      </c>
      <c r="N178" s="1">
        <f t="shared" ref="N178:N179" si="29">+I178*4%</f>
        <v>8.16</v>
      </c>
      <c r="O178" s="1">
        <f t="shared" ref="O178:O179" si="30">+I178*27%</f>
        <v>55.080000000000005</v>
      </c>
    </row>
    <row r="179" spans="1:15" x14ac:dyDescent="0.35">
      <c r="A179" s="1" t="s">
        <v>38</v>
      </c>
      <c r="B179" s="1" t="s">
        <v>47</v>
      </c>
      <c r="C179" s="1" t="s">
        <v>42</v>
      </c>
      <c r="D179" s="1" t="s">
        <v>17</v>
      </c>
      <c r="E179" s="1" t="s">
        <v>36</v>
      </c>
      <c r="F179" s="1">
        <v>4</v>
      </c>
      <c r="G179" s="1" t="s">
        <v>27</v>
      </c>
      <c r="H179" s="1" t="s">
        <v>74</v>
      </c>
      <c r="I179" s="1">
        <v>238</v>
      </c>
      <c r="J179" s="1" t="s">
        <v>21</v>
      </c>
      <c r="K179" s="1">
        <f>+I179*12%</f>
        <v>28.56</v>
      </c>
      <c r="L179" s="1">
        <f t="shared" si="27"/>
        <v>1.6659999999999999</v>
      </c>
      <c r="M179" s="1">
        <f t="shared" si="28"/>
        <v>26.18</v>
      </c>
      <c r="N179" s="1">
        <f t="shared" si="29"/>
        <v>9.52</v>
      </c>
      <c r="O179" s="1">
        <f t="shared" si="30"/>
        <v>64.260000000000005</v>
      </c>
    </row>
    <row r="180" spans="1:15" x14ac:dyDescent="0.35">
      <c r="A180" s="1" t="s">
        <v>38</v>
      </c>
      <c r="B180" s="1" t="s">
        <v>21</v>
      </c>
      <c r="C180" s="1" t="s">
        <v>42</v>
      </c>
      <c r="D180" s="1" t="s">
        <v>17</v>
      </c>
      <c r="E180" s="1" t="s">
        <v>37</v>
      </c>
      <c r="F180" s="1">
        <v>5</v>
      </c>
      <c r="G180" s="1" t="s">
        <v>27</v>
      </c>
      <c r="H180" s="1" t="s">
        <v>48</v>
      </c>
      <c r="I180" s="1">
        <v>170</v>
      </c>
      <c r="J180" s="1" t="s">
        <v>21</v>
      </c>
      <c r="K180" s="1">
        <f>+I180*15%</f>
        <v>25.5</v>
      </c>
      <c r="L180" s="1">
        <f>+$I$208*8.3%</f>
        <v>14.110000000000001</v>
      </c>
      <c r="M180" s="1">
        <f>+$I$208*6.7%</f>
        <v>11.39</v>
      </c>
      <c r="N180" s="1">
        <f>+$I$208*4%</f>
        <v>6.8</v>
      </c>
      <c r="O180" s="1">
        <f>+$I$208*23%</f>
        <v>39.1</v>
      </c>
    </row>
    <row r="181" spans="1:15" x14ac:dyDescent="0.35">
      <c r="A181" s="1" t="s">
        <v>38</v>
      </c>
      <c r="B181" s="1" t="s">
        <v>21</v>
      </c>
      <c r="C181" s="1" t="s">
        <v>42</v>
      </c>
      <c r="D181" s="1" t="s">
        <v>17</v>
      </c>
      <c r="E181" s="1" t="s">
        <v>49</v>
      </c>
      <c r="F181" s="1">
        <v>6</v>
      </c>
      <c r="G181" s="1" t="s">
        <v>27</v>
      </c>
      <c r="H181" s="1" t="s">
        <v>75</v>
      </c>
      <c r="I181" s="1">
        <v>136</v>
      </c>
      <c r="J181" s="1" t="s">
        <v>21</v>
      </c>
      <c r="K181" s="1">
        <f>+I181*13%</f>
        <v>17.68</v>
      </c>
      <c r="L181" s="1">
        <f>+I181*1.5%</f>
        <v>2.04</v>
      </c>
      <c r="M181" s="1">
        <f>+I181*11.5%</f>
        <v>15.64</v>
      </c>
      <c r="N181" s="1">
        <f>+I181*5%</f>
        <v>6.8000000000000007</v>
      </c>
      <c r="O181" s="1">
        <f>+I181*30%</f>
        <v>40.799999999999997</v>
      </c>
    </row>
    <row r="182" spans="1:15" x14ac:dyDescent="0.35">
      <c r="A182" s="1" t="s">
        <v>38</v>
      </c>
      <c r="B182" s="1" t="s">
        <v>21</v>
      </c>
      <c r="C182" s="1" t="s">
        <v>42</v>
      </c>
      <c r="D182" s="1" t="s">
        <v>50</v>
      </c>
      <c r="E182" s="1" t="s">
        <v>51</v>
      </c>
      <c r="F182" s="1">
        <v>7</v>
      </c>
      <c r="G182" s="1" t="s">
        <v>27</v>
      </c>
      <c r="H182" s="1" t="s">
        <v>75</v>
      </c>
      <c r="I182" s="1">
        <v>136</v>
      </c>
      <c r="J182" s="1" t="s">
        <v>21</v>
      </c>
      <c r="K182" s="1">
        <f t="shared" ref="K182:K187" si="31">+I182*13%</f>
        <v>17.68</v>
      </c>
      <c r="L182" s="1">
        <f t="shared" ref="L182:L187" si="32">+I182*1.5%</f>
        <v>2.04</v>
      </c>
      <c r="M182" s="1">
        <f t="shared" ref="M182:M187" si="33">+I182*11.5%</f>
        <v>15.64</v>
      </c>
      <c r="N182" s="1">
        <f t="shared" ref="N182:N187" si="34">+I182*5%</f>
        <v>6.8000000000000007</v>
      </c>
      <c r="O182" s="1">
        <f t="shared" ref="O182:O187" si="35">+I182*30%</f>
        <v>40.799999999999997</v>
      </c>
    </row>
    <row r="183" spans="1:15" x14ac:dyDescent="0.35">
      <c r="A183" s="1" t="s">
        <v>38</v>
      </c>
      <c r="B183" s="1" t="s">
        <v>21</v>
      </c>
      <c r="C183" s="1" t="s">
        <v>42</v>
      </c>
      <c r="D183" s="1" t="s">
        <v>50</v>
      </c>
      <c r="E183" s="1" t="s">
        <v>53</v>
      </c>
      <c r="F183" s="1">
        <v>8</v>
      </c>
      <c r="G183" s="1" t="s">
        <v>27</v>
      </c>
      <c r="H183" s="1" t="s">
        <v>75</v>
      </c>
      <c r="I183" s="1">
        <v>136</v>
      </c>
      <c r="J183" s="1" t="s">
        <v>21</v>
      </c>
      <c r="K183" s="1">
        <f t="shared" si="31"/>
        <v>17.68</v>
      </c>
      <c r="L183" s="1">
        <f t="shared" si="32"/>
        <v>2.04</v>
      </c>
      <c r="M183" s="1">
        <f t="shared" si="33"/>
        <v>15.64</v>
      </c>
      <c r="N183" s="1">
        <f t="shared" si="34"/>
        <v>6.8000000000000007</v>
      </c>
      <c r="O183" s="1">
        <f t="shared" si="35"/>
        <v>40.799999999999997</v>
      </c>
    </row>
    <row r="184" spans="1:15" x14ac:dyDescent="0.35">
      <c r="A184" s="1" t="s">
        <v>38</v>
      </c>
      <c r="B184" s="1" t="s">
        <v>21</v>
      </c>
      <c r="C184" s="1" t="s">
        <v>42</v>
      </c>
      <c r="D184" s="1" t="s">
        <v>50</v>
      </c>
      <c r="E184" s="1" t="s">
        <v>55</v>
      </c>
      <c r="F184" s="1">
        <v>9</v>
      </c>
      <c r="G184" s="1" t="s">
        <v>27</v>
      </c>
      <c r="H184" s="1" t="s">
        <v>75</v>
      </c>
      <c r="I184" s="1">
        <v>204</v>
      </c>
      <c r="J184" s="1" t="s">
        <v>21</v>
      </c>
      <c r="K184" s="1">
        <f t="shared" si="31"/>
        <v>26.52</v>
      </c>
      <c r="L184" s="1">
        <f t="shared" si="32"/>
        <v>3.06</v>
      </c>
      <c r="M184" s="1">
        <f t="shared" si="33"/>
        <v>23.46</v>
      </c>
      <c r="N184" s="1">
        <f t="shared" si="34"/>
        <v>10.200000000000001</v>
      </c>
      <c r="O184" s="1">
        <f t="shared" si="35"/>
        <v>61.199999999999996</v>
      </c>
    </row>
    <row r="185" spans="1:15" x14ac:dyDescent="0.35">
      <c r="A185" s="1" t="s">
        <v>38</v>
      </c>
      <c r="B185" s="1" t="s">
        <v>21</v>
      </c>
      <c r="C185" s="1" t="s">
        <v>42</v>
      </c>
      <c r="D185" s="1" t="s">
        <v>50</v>
      </c>
      <c r="E185" s="1" t="s">
        <v>57</v>
      </c>
      <c r="F185" s="1">
        <v>10</v>
      </c>
      <c r="G185" s="1" t="s">
        <v>27</v>
      </c>
      <c r="H185" s="1" t="s">
        <v>75</v>
      </c>
      <c r="I185" s="1">
        <v>204</v>
      </c>
      <c r="J185" s="1" t="s">
        <v>21</v>
      </c>
      <c r="K185" s="1">
        <f t="shared" si="31"/>
        <v>26.52</v>
      </c>
      <c r="L185" s="1">
        <f t="shared" si="32"/>
        <v>3.06</v>
      </c>
      <c r="M185" s="1">
        <f t="shared" si="33"/>
        <v>23.46</v>
      </c>
      <c r="N185" s="1">
        <f t="shared" si="34"/>
        <v>10.200000000000001</v>
      </c>
      <c r="O185" s="1">
        <f t="shared" si="35"/>
        <v>61.199999999999996</v>
      </c>
    </row>
    <row r="186" spans="1:15" x14ac:dyDescent="0.35">
      <c r="A186" s="1" t="s">
        <v>38</v>
      </c>
      <c r="B186" s="1" t="s">
        <v>21</v>
      </c>
      <c r="C186" s="1" t="s">
        <v>42</v>
      </c>
      <c r="D186" s="1" t="s">
        <v>50</v>
      </c>
      <c r="E186" s="1" t="s">
        <v>58</v>
      </c>
      <c r="F186" s="1">
        <v>11</v>
      </c>
      <c r="G186" s="1" t="s">
        <v>27</v>
      </c>
      <c r="H186" s="1" t="s">
        <v>75</v>
      </c>
      <c r="I186" s="1">
        <v>204</v>
      </c>
      <c r="J186" s="1" t="s">
        <v>21</v>
      </c>
      <c r="K186" s="1">
        <f t="shared" si="31"/>
        <v>26.52</v>
      </c>
      <c r="L186" s="1">
        <f t="shared" si="32"/>
        <v>3.06</v>
      </c>
      <c r="M186" s="1">
        <f t="shared" si="33"/>
        <v>23.46</v>
      </c>
      <c r="N186" s="1">
        <f t="shared" si="34"/>
        <v>10.200000000000001</v>
      </c>
      <c r="O186" s="1">
        <f t="shared" si="35"/>
        <v>61.199999999999996</v>
      </c>
    </row>
    <row r="187" spans="1:15" x14ac:dyDescent="0.35">
      <c r="A187" s="1" t="s">
        <v>38</v>
      </c>
      <c r="B187" s="1" t="s">
        <v>21</v>
      </c>
      <c r="C187" s="1" t="s">
        <v>42</v>
      </c>
      <c r="D187" s="1" t="s">
        <v>50</v>
      </c>
      <c r="E187" s="1" t="s">
        <v>60</v>
      </c>
      <c r="F187" s="1">
        <v>12</v>
      </c>
      <c r="G187" s="1" t="s">
        <v>27</v>
      </c>
      <c r="H187" s="1" t="s">
        <v>75</v>
      </c>
      <c r="I187" s="1">
        <v>204</v>
      </c>
      <c r="J187" s="1" t="s">
        <v>21</v>
      </c>
      <c r="K187" s="1">
        <f t="shared" si="31"/>
        <v>26.52</v>
      </c>
      <c r="L187" s="1">
        <f t="shared" si="32"/>
        <v>3.06</v>
      </c>
      <c r="M187" s="1">
        <f t="shared" si="33"/>
        <v>23.46</v>
      </c>
      <c r="N187" s="1">
        <f t="shared" si="34"/>
        <v>10.200000000000001</v>
      </c>
      <c r="O187" s="1">
        <f t="shared" si="35"/>
        <v>61.199999999999996</v>
      </c>
    </row>
    <row r="188" spans="1:15" x14ac:dyDescent="0.35">
      <c r="A188" s="1" t="s">
        <v>38</v>
      </c>
      <c r="B188" s="1" t="s">
        <v>21</v>
      </c>
      <c r="C188" s="1" t="s">
        <v>42</v>
      </c>
      <c r="D188" s="1" t="s">
        <v>50</v>
      </c>
      <c r="E188" s="1" t="s">
        <v>62</v>
      </c>
      <c r="F188" s="1">
        <v>13</v>
      </c>
      <c r="G188" s="1" t="s">
        <v>27</v>
      </c>
      <c r="H188" s="1" t="s">
        <v>76</v>
      </c>
      <c r="I188" s="1">
        <v>204</v>
      </c>
      <c r="J188" s="1" t="s">
        <v>21</v>
      </c>
      <c r="K188" s="1">
        <f>+I188*15%</f>
        <v>30.599999999999998</v>
      </c>
      <c r="L188" s="1">
        <f>+I188*0%</f>
        <v>0</v>
      </c>
      <c r="M188" s="1">
        <f>+I188*0%</f>
        <v>0</v>
      </c>
      <c r="N188" s="1">
        <f>+I188*0%</f>
        <v>0</v>
      </c>
      <c r="O188" s="1">
        <f>+I188*0%</f>
        <v>0</v>
      </c>
    </row>
    <row r="189" spans="1:15" x14ac:dyDescent="0.35">
      <c r="A189" s="1" t="s">
        <v>38</v>
      </c>
      <c r="B189" s="1" t="s">
        <v>21</v>
      </c>
      <c r="C189" s="1" t="s">
        <v>42</v>
      </c>
      <c r="D189" s="1" t="s">
        <v>50</v>
      </c>
      <c r="E189" s="1" t="s">
        <v>63</v>
      </c>
      <c r="F189" s="1">
        <v>14</v>
      </c>
      <c r="G189" s="1" t="s">
        <v>27</v>
      </c>
      <c r="H189" s="1" t="s">
        <v>48</v>
      </c>
      <c r="I189" s="1">
        <v>204</v>
      </c>
      <c r="J189" s="1" t="s">
        <v>21</v>
      </c>
      <c r="K189" s="1">
        <f>+I189*15%</f>
        <v>30.599999999999998</v>
      </c>
      <c r="L189" s="1">
        <f>+$I$208*8.3%</f>
        <v>14.110000000000001</v>
      </c>
      <c r="M189" s="1">
        <f>+$I$208*6.7%</f>
        <v>11.39</v>
      </c>
      <c r="N189" s="1">
        <f>+$I$208*4%</f>
        <v>6.8</v>
      </c>
      <c r="O189" s="1">
        <f>+$I$208*23%</f>
        <v>39.1</v>
      </c>
    </row>
    <row r="190" spans="1:15" x14ac:dyDescent="0.35">
      <c r="A190" s="1" t="s">
        <v>40</v>
      </c>
      <c r="B190" s="1" t="s">
        <v>71</v>
      </c>
      <c r="C190" s="1" t="s">
        <v>42</v>
      </c>
      <c r="D190" s="1" t="s">
        <v>17</v>
      </c>
      <c r="E190" s="1" t="s">
        <v>18</v>
      </c>
      <c r="F190" s="1">
        <v>1</v>
      </c>
      <c r="G190" s="1" t="s">
        <v>27</v>
      </c>
      <c r="H190" s="1" t="s">
        <v>48</v>
      </c>
      <c r="I190" s="1">
        <v>238</v>
      </c>
      <c r="J190" s="1" t="s">
        <v>21</v>
      </c>
      <c r="K190" s="1">
        <f>+I190*15%</f>
        <v>35.699999999999996</v>
      </c>
      <c r="L190" s="1">
        <f>+I190*8.3%</f>
        <v>19.754000000000001</v>
      </c>
      <c r="M190" s="1">
        <f>+I190*6.7%</f>
        <v>15.946000000000002</v>
      </c>
      <c r="N190" s="1">
        <f>+I190*4%</f>
        <v>9.52</v>
      </c>
      <c r="O190" s="1">
        <f>+I190*23%</f>
        <v>54.74</v>
      </c>
    </row>
    <row r="191" spans="1:15" x14ac:dyDescent="0.35">
      <c r="A191" s="1" t="s">
        <v>40</v>
      </c>
      <c r="B191" s="1" t="s">
        <v>72</v>
      </c>
      <c r="C191" s="1" t="s">
        <v>42</v>
      </c>
      <c r="D191" s="1" t="s">
        <v>17</v>
      </c>
      <c r="E191" s="1" t="s">
        <v>31</v>
      </c>
      <c r="F191" s="1">
        <v>2</v>
      </c>
      <c r="G191" s="1" t="s">
        <v>27</v>
      </c>
      <c r="H191" s="1" t="s">
        <v>73</v>
      </c>
      <c r="I191" s="1">
        <v>238</v>
      </c>
      <c r="J191" s="1" t="s">
        <v>21</v>
      </c>
      <c r="K191" s="1">
        <f>+I191*12%</f>
        <v>28.56</v>
      </c>
      <c r="L191" s="1">
        <f>+I191*0.7%</f>
        <v>1.6659999999999999</v>
      </c>
      <c r="M191" s="1">
        <f>+I191*11%</f>
        <v>26.18</v>
      </c>
      <c r="N191" s="1">
        <f>+I191*4%</f>
        <v>9.52</v>
      </c>
      <c r="O191" s="1">
        <f>+I191*27%</f>
        <v>64.260000000000005</v>
      </c>
    </row>
    <row r="192" spans="1:15" x14ac:dyDescent="0.35">
      <c r="A192" s="1" t="s">
        <v>40</v>
      </c>
      <c r="B192" s="1" t="s">
        <v>67</v>
      </c>
      <c r="C192" s="1" t="s">
        <v>42</v>
      </c>
      <c r="D192" s="1" t="s">
        <v>17</v>
      </c>
      <c r="E192" s="1" t="s">
        <v>33</v>
      </c>
      <c r="F192" s="1">
        <v>3</v>
      </c>
      <c r="G192" s="1" t="s">
        <v>27</v>
      </c>
      <c r="H192" s="1" t="s">
        <v>74</v>
      </c>
      <c r="I192" s="1">
        <v>204</v>
      </c>
      <c r="J192" s="1" t="s">
        <v>21</v>
      </c>
      <c r="K192" s="1">
        <f>+I192*12%</f>
        <v>24.48</v>
      </c>
      <c r="L192" s="1">
        <f t="shared" ref="L192:L193" si="36">+I192*0.7%</f>
        <v>1.4279999999999999</v>
      </c>
      <c r="M192" s="1">
        <f t="shared" ref="M192:M193" si="37">+I192*11%</f>
        <v>22.44</v>
      </c>
      <c r="N192" s="1">
        <f t="shared" ref="N192:N193" si="38">+I192*4%</f>
        <v>8.16</v>
      </c>
      <c r="O192" s="1">
        <f t="shared" ref="O192:O193" si="39">+I192*27%</f>
        <v>55.080000000000005</v>
      </c>
    </row>
    <row r="193" spans="1:15" x14ac:dyDescent="0.35">
      <c r="A193" s="1" t="s">
        <v>40</v>
      </c>
      <c r="B193" s="1" t="s">
        <v>68</v>
      </c>
      <c r="C193" s="1" t="s">
        <v>42</v>
      </c>
      <c r="D193" s="1" t="s">
        <v>17</v>
      </c>
      <c r="E193" s="1" t="s">
        <v>36</v>
      </c>
      <c r="F193" s="1">
        <v>4</v>
      </c>
      <c r="G193" s="1" t="s">
        <v>27</v>
      </c>
      <c r="H193" s="1" t="s">
        <v>74</v>
      </c>
      <c r="I193" s="1">
        <v>238</v>
      </c>
      <c r="J193" s="1" t="s">
        <v>21</v>
      </c>
      <c r="K193" s="1">
        <f>+I193*12%</f>
        <v>28.56</v>
      </c>
      <c r="L193" s="1">
        <f t="shared" si="36"/>
        <v>1.6659999999999999</v>
      </c>
      <c r="M193" s="1">
        <f t="shared" si="37"/>
        <v>26.18</v>
      </c>
      <c r="N193" s="1">
        <f t="shared" si="38"/>
        <v>9.52</v>
      </c>
      <c r="O193" s="1">
        <f t="shared" si="39"/>
        <v>64.260000000000005</v>
      </c>
    </row>
    <row r="194" spans="1:15" x14ac:dyDescent="0.35">
      <c r="A194" s="1" t="s">
        <v>40</v>
      </c>
      <c r="B194" s="1" t="s">
        <v>21</v>
      </c>
      <c r="C194" s="1" t="s">
        <v>42</v>
      </c>
      <c r="D194" s="1" t="s">
        <v>17</v>
      </c>
      <c r="E194" s="1" t="s">
        <v>37</v>
      </c>
      <c r="F194" s="1">
        <v>5</v>
      </c>
      <c r="G194" s="1" t="s">
        <v>27</v>
      </c>
      <c r="H194" s="1" t="s">
        <v>48</v>
      </c>
      <c r="I194" s="1">
        <v>170</v>
      </c>
      <c r="J194" s="1" t="s">
        <v>21</v>
      </c>
      <c r="K194" s="1">
        <f>+I194*15%</f>
        <v>25.5</v>
      </c>
      <c r="L194" s="1">
        <f>+$I$208*8.3%</f>
        <v>14.110000000000001</v>
      </c>
      <c r="M194" s="1">
        <f>+$I$208*6.7%</f>
        <v>11.39</v>
      </c>
      <c r="N194" s="1">
        <f>+$I$208*4%</f>
        <v>6.8</v>
      </c>
      <c r="O194" s="1">
        <f>+$I$208*23%</f>
        <v>39.1</v>
      </c>
    </row>
    <row r="195" spans="1:15" x14ac:dyDescent="0.35">
      <c r="A195" s="1" t="s">
        <v>40</v>
      </c>
      <c r="B195" s="1" t="s">
        <v>21</v>
      </c>
      <c r="C195" s="1" t="s">
        <v>42</v>
      </c>
      <c r="D195" s="1" t="s">
        <v>17</v>
      </c>
      <c r="E195" s="1" t="s">
        <v>49</v>
      </c>
      <c r="F195" s="1">
        <v>6</v>
      </c>
      <c r="G195" s="1" t="s">
        <v>27</v>
      </c>
      <c r="H195" s="1" t="s">
        <v>75</v>
      </c>
      <c r="I195" s="1">
        <v>136</v>
      </c>
      <c r="J195" s="1" t="s">
        <v>21</v>
      </c>
      <c r="K195" s="1">
        <f>+I195*13%</f>
        <v>17.68</v>
      </c>
      <c r="L195" s="1">
        <f>+I195*1.5%</f>
        <v>2.04</v>
      </c>
      <c r="M195" s="1">
        <f>+I195*11.5%</f>
        <v>15.64</v>
      </c>
      <c r="N195" s="1">
        <f>+I195*5%</f>
        <v>6.8000000000000007</v>
      </c>
      <c r="O195" s="1">
        <f>+I195*30%</f>
        <v>40.799999999999997</v>
      </c>
    </row>
    <row r="196" spans="1:15" x14ac:dyDescent="0.35">
      <c r="A196" s="1" t="s">
        <v>40</v>
      </c>
      <c r="B196" s="1" t="s">
        <v>21</v>
      </c>
      <c r="C196" s="1" t="s">
        <v>42</v>
      </c>
      <c r="D196" s="1" t="s">
        <v>50</v>
      </c>
      <c r="E196" s="1" t="s">
        <v>51</v>
      </c>
      <c r="F196" s="1">
        <v>7</v>
      </c>
      <c r="G196" s="1" t="s">
        <v>27</v>
      </c>
      <c r="H196" s="1" t="s">
        <v>75</v>
      </c>
      <c r="I196" s="1">
        <v>136</v>
      </c>
      <c r="J196" s="1" t="s">
        <v>21</v>
      </c>
      <c r="K196" s="1">
        <f t="shared" ref="K196:K201" si="40">+I196*13%</f>
        <v>17.68</v>
      </c>
      <c r="L196" s="1">
        <f t="shared" ref="L196:L201" si="41">+I196*1.5%</f>
        <v>2.04</v>
      </c>
      <c r="M196" s="1">
        <f t="shared" ref="M196:M201" si="42">+I196*11.5%</f>
        <v>15.64</v>
      </c>
      <c r="N196" s="1">
        <f t="shared" ref="N196:N201" si="43">+I196*5%</f>
        <v>6.8000000000000007</v>
      </c>
      <c r="O196" s="1">
        <f t="shared" ref="O196:O201" si="44">+I196*30%</f>
        <v>40.799999999999997</v>
      </c>
    </row>
    <row r="197" spans="1:15" x14ac:dyDescent="0.35">
      <c r="A197" s="1" t="s">
        <v>40</v>
      </c>
      <c r="B197" s="1" t="s">
        <v>21</v>
      </c>
      <c r="C197" s="1" t="s">
        <v>42</v>
      </c>
      <c r="D197" s="1" t="s">
        <v>50</v>
      </c>
      <c r="E197" s="1" t="s">
        <v>53</v>
      </c>
      <c r="F197" s="1">
        <v>8</v>
      </c>
      <c r="G197" s="1" t="s">
        <v>27</v>
      </c>
      <c r="H197" s="1" t="s">
        <v>75</v>
      </c>
      <c r="I197" s="1">
        <v>136</v>
      </c>
      <c r="J197" s="1" t="s">
        <v>21</v>
      </c>
      <c r="K197" s="1">
        <f t="shared" si="40"/>
        <v>17.68</v>
      </c>
      <c r="L197" s="1">
        <f t="shared" si="41"/>
        <v>2.04</v>
      </c>
      <c r="M197" s="1">
        <f t="shared" si="42"/>
        <v>15.64</v>
      </c>
      <c r="N197" s="1">
        <f t="shared" si="43"/>
        <v>6.8000000000000007</v>
      </c>
      <c r="O197" s="1">
        <f t="shared" si="44"/>
        <v>40.799999999999997</v>
      </c>
    </row>
    <row r="198" spans="1:15" x14ac:dyDescent="0.35">
      <c r="A198" s="1" t="s">
        <v>40</v>
      </c>
      <c r="B198" s="1" t="s">
        <v>21</v>
      </c>
      <c r="C198" s="1" t="s">
        <v>42</v>
      </c>
      <c r="D198" s="1" t="s">
        <v>50</v>
      </c>
      <c r="E198" s="1" t="s">
        <v>55</v>
      </c>
      <c r="F198" s="1">
        <v>9</v>
      </c>
      <c r="G198" s="1" t="s">
        <v>27</v>
      </c>
      <c r="H198" s="1" t="s">
        <v>75</v>
      </c>
      <c r="I198" s="1">
        <v>204</v>
      </c>
      <c r="J198" s="1" t="s">
        <v>21</v>
      </c>
      <c r="K198" s="1">
        <f t="shared" si="40"/>
        <v>26.52</v>
      </c>
      <c r="L198" s="1">
        <f t="shared" si="41"/>
        <v>3.06</v>
      </c>
      <c r="M198" s="1">
        <f t="shared" si="42"/>
        <v>23.46</v>
      </c>
      <c r="N198" s="1">
        <f t="shared" si="43"/>
        <v>10.200000000000001</v>
      </c>
      <c r="O198" s="1">
        <f t="shared" si="44"/>
        <v>61.199999999999996</v>
      </c>
    </row>
    <row r="199" spans="1:15" x14ac:dyDescent="0.35">
      <c r="A199" s="1" t="s">
        <v>40</v>
      </c>
      <c r="B199" s="1" t="s">
        <v>21</v>
      </c>
      <c r="C199" s="1" t="s">
        <v>42</v>
      </c>
      <c r="D199" s="1" t="s">
        <v>50</v>
      </c>
      <c r="E199" s="1" t="s">
        <v>57</v>
      </c>
      <c r="F199" s="1">
        <v>10</v>
      </c>
      <c r="G199" s="1" t="s">
        <v>27</v>
      </c>
      <c r="H199" s="1" t="s">
        <v>75</v>
      </c>
      <c r="I199" s="1">
        <v>204</v>
      </c>
      <c r="J199" s="1" t="s">
        <v>21</v>
      </c>
      <c r="K199" s="1">
        <f t="shared" si="40"/>
        <v>26.52</v>
      </c>
      <c r="L199" s="1">
        <f t="shared" si="41"/>
        <v>3.06</v>
      </c>
      <c r="M199" s="1">
        <f t="shared" si="42"/>
        <v>23.46</v>
      </c>
      <c r="N199" s="1">
        <f t="shared" si="43"/>
        <v>10.200000000000001</v>
      </c>
      <c r="O199" s="1">
        <f t="shared" si="44"/>
        <v>61.199999999999996</v>
      </c>
    </row>
    <row r="200" spans="1:15" x14ac:dyDescent="0.35">
      <c r="A200" s="1" t="s">
        <v>40</v>
      </c>
      <c r="B200" s="1" t="s">
        <v>21</v>
      </c>
      <c r="C200" s="1" t="s">
        <v>42</v>
      </c>
      <c r="D200" s="1" t="s">
        <v>50</v>
      </c>
      <c r="E200" s="1" t="s">
        <v>58</v>
      </c>
      <c r="F200" s="1">
        <v>11</v>
      </c>
      <c r="G200" s="1" t="s">
        <v>27</v>
      </c>
      <c r="H200" s="1" t="s">
        <v>75</v>
      </c>
      <c r="I200" s="1">
        <v>204</v>
      </c>
      <c r="J200" s="1" t="s">
        <v>21</v>
      </c>
      <c r="K200" s="1">
        <f t="shared" si="40"/>
        <v>26.52</v>
      </c>
      <c r="L200" s="1">
        <f t="shared" si="41"/>
        <v>3.06</v>
      </c>
      <c r="M200" s="1">
        <f t="shared" si="42"/>
        <v>23.46</v>
      </c>
      <c r="N200" s="1">
        <f t="shared" si="43"/>
        <v>10.200000000000001</v>
      </c>
      <c r="O200" s="1">
        <f t="shared" si="44"/>
        <v>61.199999999999996</v>
      </c>
    </row>
    <row r="201" spans="1:15" x14ac:dyDescent="0.35">
      <c r="A201" s="1" t="s">
        <v>40</v>
      </c>
      <c r="B201" s="1" t="s">
        <v>21</v>
      </c>
      <c r="C201" s="1" t="s">
        <v>42</v>
      </c>
      <c r="D201" s="1" t="s">
        <v>50</v>
      </c>
      <c r="E201" s="1" t="s">
        <v>60</v>
      </c>
      <c r="F201" s="1">
        <v>12</v>
      </c>
      <c r="G201" s="1" t="s">
        <v>27</v>
      </c>
      <c r="H201" s="1" t="s">
        <v>75</v>
      </c>
      <c r="I201" s="1">
        <v>204</v>
      </c>
      <c r="J201" s="1" t="s">
        <v>21</v>
      </c>
      <c r="K201" s="1">
        <f t="shared" si="40"/>
        <v>26.52</v>
      </c>
      <c r="L201" s="1">
        <f t="shared" si="41"/>
        <v>3.06</v>
      </c>
      <c r="M201" s="1">
        <f t="shared" si="42"/>
        <v>23.46</v>
      </c>
      <c r="N201" s="1">
        <f t="shared" si="43"/>
        <v>10.200000000000001</v>
      </c>
      <c r="O201" s="1">
        <f t="shared" si="44"/>
        <v>61.199999999999996</v>
      </c>
    </row>
    <row r="202" spans="1:15" x14ac:dyDescent="0.35">
      <c r="A202" s="1" t="s">
        <v>40</v>
      </c>
      <c r="B202" s="1" t="s">
        <v>21</v>
      </c>
      <c r="C202" s="1" t="s">
        <v>42</v>
      </c>
      <c r="D202" s="1" t="s">
        <v>50</v>
      </c>
      <c r="E202" s="1" t="s">
        <v>62</v>
      </c>
      <c r="F202" s="1">
        <v>13</v>
      </c>
      <c r="G202" s="1" t="s">
        <v>27</v>
      </c>
      <c r="H202" s="1" t="s">
        <v>76</v>
      </c>
      <c r="I202" s="1">
        <v>204</v>
      </c>
      <c r="J202" s="1" t="s">
        <v>21</v>
      </c>
      <c r="K202" s="1">
        <f>+I202*15%</f>
        <v>30.599999999999998</v>
      </c>
      <c r="L202" s="1">
        <f>+I202*0%</f>
        <v>0</v>
      </c>
      <c r="M202" s="1">
        <f>+I202*0%</f>
        <v>0</v>
      </c>
      <c r="N202" s="1">
        <f>+I202*0%</f>
        <v>0</v>
      </c>
      <c r="O202" s="1">
        <f>+I202*0%</f>
        <v>0</v>
      </c>
    </row>
    <row r="203" spans="1:15" x14ac:dyDescent="0.35">
      <c r="A203" s="1" t="s">
        <v>40</v>
      </c>
      <c r="B203" s="1" t="s">
        <v>21</v>
      </c>
      <c r="C203" s="1" t="s">
        <v>42</v>
      </c>
      <c r="D203" s="1" t="s">
        <v>50</v>
      </c>
      <c r="E203" s="1" t="s">
        <v>63</v>
      </c>
      <c r="F203" s="1">
        <v>14</v>
      </c>
      <c r="G203" s="1" t="s">
        <v>27</v>
      </c>
      <c r="H203" s="1" t="s">
        <v>48</v>
      </c>
      <c r="I203" s="1">
        <v>204</v>
      </c>
      <c r="J203" s="1" t="s">
        <v>21</v>
      </c>
      <c r="K203" s="1">
        <f>+I203*15%</f>
        <v>30.599999999999998</v>
      </c>
      <c r="L203" s="1">
        <f>+$I$208*8.3%</f>
        <v>14.110000000000001</v>
      </c>
      <c r="M203" s="1">
        <f>+$I$208*6.7%</f>
        <v>11.39</v>
      </c>
      <c r="N203" s="1">
        <f>+$I$208*4%</f>
        <v>6.8</v>
      </c>
      <c r="O203" s="1">
        <f>+$I$208*23%</f>
        <v>39.1</v>
      </c>
    </row>
    <row r="204" spans="1:15" x14ac:dyDescent="0.35">
      <c r="A204" s="1" t="s">
        <v>15</v>
      </c>
      <c r="B204" s="1" t="s">
        <v>71</v>
      </c>
      <c r="C204" s="1" t="s">
        <v>42</v>
      </c>
      <c r="D204" s="1" t="s">
        <v>17</v>
      </c>
      <c r="E204" s="1" t="s">
        <v>18</v>
      </c>
      <c r="F204" s="1">
        <v>1</v>
      </c>
      <c r="G204" s="1" t="s">
        <v>23</v>
      </c>
      <c r="H204" s="1" t="s">
        <v>48</v>
      </c>
      <c r="I204" s="1">
        <v>238</v>
      </c>
      <c r="J204" s="1" t="s">
        <v>21</v>
      </c>
      <c r="K204" s="1">
        <f>+I204*15%</f>
        <v>35.699999999999996</v>
      </c>
      <c r="L204" s="1">
        <f>+I204*8.3%</f>
        <v>19.754000000000001</v>
      </c>
      <c r="M204" s="1">
        <f>+I204*6.7%</f>
        <v>15.946000000000002</v>
      </c>
      <c r="N204" s="1">
        <f>+I204*4%</f>
        <v>9.52</v>
      </c>
      <c r="O204" s="1">
        <f>+I204*23%</f>
        <v>54.74</v>
      </c>
    </row>
    <row r="205" spans="1:15" x14ac:dyDescent="0.35">
      <c r="A205" s="1" t="s">
        <v>15</v>
      </c>
      <c r="B205" s="1" t="s">
        <v>72</v>
      </c>
      <c r="C205" s="1" t="s">
        <v>42</v>
      </c>
      <c r="D205" s="1" t="s">
        <v>17</v>
      </c>
      <c r="E205" s="1" t="s">
        <v>31</v>
      </c>
      <c r="F205" s="1">
        <v>2</v>
      </c>
      <c r="G205" s="1" t="s">
        <v>23</v>
      </c>
      <c r="H205" s="1" t="s">
        <v>73</v>
      </c>
      <c r="I205" s="1">
        <v>238</v>
      </c>
      <c r="J205" s="1" t="s">
        <v>21</v>
      </c>
      <c r="K205" s="1">
        <f>+I205*12%</f>
        <v>28.56</v>
      </c>
      <c r="L205" s="1">
        <f>+I205*0.7%</f>
        <v>1.6659999999999999</v>
      </c>
      <c r="M205" s="1">
        <f>+I205*11%</f>
        <v>26.18</v>
      </c>
      <c r="N205" s="1">
        <f>+I205*4%</f>
        <v>9.52</v>
      </c>
      <c r="O205" s="1">
        <f>+I205*27%</f>
        <v>64.260000000000005</v>
      </c>
    </row>
    <row r="206" spans="1:15" x14ac:dyDescent="0.35">
      <c r="A206" s="1" t="s">
        <v>15</v>
      </c>
      <c r="B206" s="1" t="s">
        <v>46</v>
      </c>
      <c r="C206" s="1" t="s">
        <v>42</v>
      </c>
      <c r="D206" s="1" t="s">
        <v>17</v>
      </c>
      <c r="E206" s="1" t="s">
        <v>33</v>
      </c>
      <c r="F206" s="1">
        <v>3</v>
      </c>
      <c r="G206" s="1" t="s">
        <v>23</v>
      </c>
      <c r="H206" s="1" t="s">
        <v>74</v>
      </c>
      <c r="I206" s="1">
        <v>204</v>
      </c>
      <c r="J206" s="1" t="s">
        <v>21</v>
      </c>
      <c r="K206" s="1">
        <f>+I206*12%</f>
        <v>24.48</v>
      </c>
      <c r="L206" s="1">
        <f t="shared" ref="L206:L207" si="45">+I206*0.7%</f>
        <v>1.4279999999999999</v>
      </c>
      <c r="M206" s="1">
        <f t="shared" ref="M206:M207" si="46">+I206*11%</f>
        <v>22.44</v>
      </c>
      <c r="N206" s="1">
        <f t="shared" ref="N206:N207" si="47">+I206*4%</f>
        <v>8.16</v>
      </c>
      <c r="O206" s="1">
        <f t="shared" ref="O206:O207" si="48">+I206*27%</f>
        <v>55.080000000000005</v>
      </c>
    </row>
    <row r="207" spans="1:15" x14ac:dyDescent="0.35">
      <c r="A207" s="1" t="s">
        <v>15</v>
      </c>
      <c r="B207" s="1" t="s">
        <v>47</v>
      </c>
      <c r="C207" s="1" t="s">
        <v>42</v>
      </c>
      <c r="D207" s="1" t="s">
        <v>17</v>
      </c>
      <c r="E207" s="1" t="s">
        <v>36</v>
      </c>
      <c r="F207" s="1">
        <v>4</v>
      </c>
      <c r="G207" s="1" t="s">
        <v>23</v>
      </c>
      <c r="H207" s="1" t="s">
        <v>74</v>
      </c>
      <c r="I207" s="1">
        <v>238</v>
      </c>
      <c r="J207" s="1" t="s">
        <v>21</v>
      </c>
      <c r="K207" s="1">
        <f>+I207*12%</f>
        <v>28.56</v>
      </c>
      <c r="L207" s="1">
        <f t="shared" si="45"/>
        <v>1.6659999999999999</v>
      </c>
      <c r="M207" s="1">
        <f t="shared" si="46"/>
        <v>26.18</v>
      </c>
      <c r="N207" s="1">
        <f t="shared" si="47"/>
        <v>9.52</v>
      </c>
      <c r="O207" s="1">
        <f t="shared" si="48"/>
        <v>64.260000000000005</v>
      </c>
    </row>
    <row r="208" spans="1:15" x14ac:dyDescent="0.35">
      <c r="A208" s="1" t="s">
        <v>15</v>
      </c>
      <c r="B208" s="1" t="s">
        <v>21</v>
      </c>
      <c r="C208" s="1" t="s">
        <v>42</v>
      </c>
      <c r="D208" s="1" t="s">
        <v>17</v>
      </c>
      <c r="E208" s="1" t="s">
        <v>37</v>
      </c>
      <c r="F208" s="1">
        <v>5</v>
      </c>
      <c r="G208" s="1" t="s">
        <v>23</v>
      </c>
      <c r="H208" s="1" t="s">
        <v>48</v>
      </c>
      <c r="I208" s="1">
        <v>170</v>
      </c>
      <c r="J208" s="1" t="s">
        <v>21</v>
      </c>
      <c r="K208" s="1">
        <f>+I208*15%</f>
        <v>25.5</v>
      </c>
      <c r="L208" s="1">
        <f>+$I$208*8.3%</f>
        <v>14.110000000000001</v>
      </c>
      <c r="M208" s="1">
        <f>+$I$208*6.7%</f>
        <v>11.39</v>
      </c>
      <c r="N208" s="1">
        <f>+$I$208*4%</f>
        <v>6.8</v>
      </c>
      <c r="O208" s="1">
        <f>+$I$208*23%</f>
        <v>39.1</v>
      </c>
    </row>
    <row r="209" spans="1:15" x14ac:dyDescent="0.35">
      <c r="A209" s="1" t="s">
        <v>15</v>
      </c>
      <c r="B209" s="1" t="s">
        <v>21</v>
      </c>
      <c r="C209" s="1" t="s">
        <v>42</v>
      </c>
      <c r="D209" s="1" t="s">
        <v>17</v>
      </c>
      <c r="E209" s="1" t="s">
        <v>49</v>
      </c>
      <c r="F209" s="1">
        <v>6</v>
      </c>
      <c r="G209" s="1" t="s">
        <v>23</v>
      </c>
      <c r="H209" s="1" t="s">
        <v>75</v>
      </c>
      <c r="I209" s="1">
        <v>170</v>
      </c>
      <c r="J209" s="1" t="s">
        <v>21</v>
      </c>
      <c r="K209" s="1">
        <f>+I209*13%</f>
        <v>22.1</v>
      </c>
      <c r="L209" s="1">
        <f>+I209*1.5%</f>
        <v>2.5499999999999998</v>
      </c>
      <c r="M209" s="1">
        <f>+I209*11.5%</f>
        <v>19.55</v>
      </c>
      <c r="N209" s="1">
        <f>+I209*5%</f>
        <v>8.5</v>
      </c>
      <c r="O209" s="1">
        <f>+I209*30%</f>
        <v>51</v>
      </c>
    </row>
    <row r="210" spans="1:15" x14ac:dyDescent="0.35">
      <c r="A210" s="1" t="s">
        <v>15</v>
      </c>
      <c r="B210" s="1" t="s">
        <v>21</v>
      </c>
      <c r="C210" s="1" t="s">
        <v>42</v>
      </c>
      <c r="D210" s="1" t="s">
        <v>50</v>
      </c>
      <c r="E210" s="1" t="s">
        <v>51</v>
      </c>
      <c r="F210" s="1">
        <v>7</v>
      </c>
      <c r="G210" s="1" t="s">
        <v>23</v>
      </c>
      <c r="H210" s="1" t="s">
        <v>75</v>
      </c>
      <c r="I210" s="1">
        <v>170</v>
      </c>
      <c r="J210" s="1" t="s">
        <v>21</v>
      </c>
      <c r="K210" s="1">
        <f t="shared" ref="K210:K215" si="49">+I210*13%</f>
        <v>22.1</v>
      </c>
      <c r="L210" s="1">
        <f t="shared" ref="L210:L215" si="50">+I210*1.5%</f>
        <v>2.5499999999999998</v>
      </c>
      <c r="M210" s="1">
        <f t="shared" ref="M210:M215" si="51">+I210*11.5%</f>
        <v>19.55</v>
      </c>
      <c r="N210" s="1">
        <f t="shared" ref="N210:N215" si="52">+I210*5%</f>
        <v>8.5</v>
      </c>
      <c r="O210" s="1">
        <f t="shared" ref="O210:O215" si="53">+I210*30%</f>
        <v>51</v>
      </c>
    </row>
    <row r="211" spans="1:15" x14ac:dyDescent="0.35">
      <c r="A211" s="1" t="s">
        <v>15</v>
      </c>
      <c r="B211" s="1" t="s">
        <v>21</v>
      </c>
      <c r="C211" s="1" t="s">
        <v>42</v>
      </c>
      <c r="D211" s="1" t="s">
        <v>50</v>
      </c>
      <c r="E211" s="1" t="s">
        <v>53</v>
      </c>
      <c r="F211" s="1">
        <v>8</v>
      </c>
      <c r="G211" s="1" t="s">
        <v>23</v>
      </c>
      <c r="H211" s="1" t="s">
        <v>75</v>
      </c>
      <c r="I211" s="1">
        <v>170</v>
      </c>
      <c r="J211" s="1" t="s">
        <v>21</v>
      </c>
      <c r="K211" s="1">
        <f t="shared" si="49"/>
        <v>22.1</v>
      </c>
      <c r="L211" s="1">
        <f t="shared" si="50"/>
        <v>2.5499999999999998</v>
      </c>
      <c r="M211" s="1">
        <f t="shared" si="51"/>
        <v>19.55</v>
      </c>
      <c r="N211" s="1">
        <f t="shared" si="52"/>
        <v>8.5</v>
      </c>
      <c r="O211" s="1">
        <f t="shared" si="53"/>
        <v>51</v>
      </c>
    </row>
    <row r="212" spans="1:15" x14ac:dyDescent="0.35">
      <c r="A212" s="1" t="s">
        <v>15</v>
      </c>
      <c r="B212" s="1" t="s">
        <v>21</v>
      </c>
      <c r="C212" s="1" t="s">
        <v>42</v>
      </c>
      <c r="D212" s="1" t="s">
        <v>50</v>
      </c>
      <c r="E212" s="1" t="s">
        <v>55</v>
      </c>
      <c r="F212" s="1">
        <v>9</v>
      </c>
      <c r="G212" s="1" t="s">
        <v>23</v>
      </c>
      <c r="H212" s="1" t="s">
        <v>75</v>
      </c>
      <c r="I212" s="1">
        <v>238</v>
      </c>
      <c r="J212" s="1" t="s">
        <v>21</v>
      </c>
      <c r="K212" s="1">
        <f t="shared" si="49"/>
        <v>30.94</v>
      </c>
      <c r="L212" s="1">
        <f t="shared" si="50"/>
        <v>3.57</v>
      </c>
      <c r="M212" s="1">
        <f t="shared" si="51"/>
        <v>27.37</v>
      </c>
      <c r="N212" s="1">
        <f t="shared" si="52"/>
        <v>11.9</v>
      </c>
      <c r="O212" s="1">
        <f t="shared" si="53"/>
        <v>71.399999999999991</v>
      </c>
    </row>
    <row r="213" spans="1:15" x14ac:dyDescent="0.35">
      <c r="A213" s="1" t="s">
        <v>15</v>
      </c>
      <c r="B213" s="1" t="s">
        <v>21</v>
      </c>
      <c r="C213" s="1" t="s">
        <v>42</v>
      </c>
      <c r="D213" s="1" t="s">
        <v>50</v>
      </c>
      <c r="E213" s="1" t="s">
        <v>57</v>
      </c>
      <c r="F213" s="1">
        <v>10</v>
      </c>
      <c r="G213" s="1" t="s">
        <v>23</v>
      </c>
      <c r="H213" s="1" t="s">
        <v>75</v>
      </c>
      <c r="I213" s="1">
        <v>238</v>
      </c>
      <c r="J213" s="1" t="s">
        <v>21</v>
      </c>
      <c r="K213" s="1">
        <f t="shared" si="49"/>
        <v>30.94</v>
      </c>
      <c r="L213" s="1">
        <f t="shared" si="50"/>
        <v>3.57</v>
      </c>
      <c r="M213" s="1">
        <f t="shared" si="51"/>
        <v>27.37</v>
      </c>
      <c r="N213" s="1">
        <f t="shared" si="52"/>
        <v>11.9</v>
      </c>
      <c r="O213" s="1">
        <f t="shared" si="53"/>
        <v>71.399999999999991</v>
      </c>
    </row>
    <row r="214" spans="1:15" x14ac:dyDescent="0.35">
      <c r="A214" s="1" t="s">
        <v>15</v>
      </c>
      <c r="B214" s="1" t="s">
        <v>21</v>
      </c>
      <c r="C214" s="1" t="s">
        <v>42</v>
      </c>
      <c r="D214" s="1" t="s">
        <v>50</v>
      </c>
      <c r="E214" s="1" t="s">
        <v>58</v>
      </c>
      <c r="F214" s="1">
        <v>11</v>
      </c>
      <c r="G214" s="1" t="s">
        <v>23</v>
      </c>
      <c r="H214" s="1" t="s">
        <v>75</v>
      </c>
      <c r="I214" s="1">
        <v>238</v>
      </c>
      <c r="J214" s="1" t="s">
        <v>21</v>
      </c>
      <c r="K214" s="1">
        <f t="shared" si="49"/>
        <v>30.94</v>
      </c>
      <c r="L214" s="1">
        <f t="shared" si="50"/>
        <v>3.57</v>
      </c>
      <c r="M214" s="1">
        <f t="shared" si="51"/>
        <v>27.37</v>
      </c>
      <c r="N214" s="1">
        <f t="shared" si="52"/>
        <v>11.9</v>
      </c>
      <c r="O214" s="1">
        <f t="shared" si="53"/>
        <v>71.399999999999991</v>
      </c>
    </row>
    <row r="215" spans="1:15" x14ac:dyDescent="0.35">
      <c r="A215" s="1" t="s">
        <v>15</v>
      </c>
      <c r="B215" s="1" t="s">
        <v>21</v>
      </c>
      <c r="C215" s="1" t="s">
        <v>42</v>
      </c>
      <c r="D215" s="1" t="s">
        <v>50</v>
      </c>
      <c r="E215" s="1" t="s">
        <v>60</v>
      </c>
      <c r="F215" s="1">
        <v>12</v>
      </c>
      <c r="G215" s="1" t="s">
        <v>23</v>
      </c>
      <c r="H215" s="1" t="s">
        <v>75</v>
      </c>
      <c r="I215" s="1">
        <v>238</v>
      </c>
      <c r="J215" s="1" t="s">
        <v>21</v>
      </c>
      <c r="K215" s="1">
        <f t="shared" si="49"/>
        <v>30.94</v>
      </c>
      <c r="L215" s="1">
        <f t="shared" si="50"/>
        <v>3.57</v>
      </c>
      <c r="M215" s="1">
        <f t="shared" si="51"/>
        <v>27.37</v>
      </c>
      <c r="N215" s="1">
        <f t="shared" si="52"/>
        <v>11.9</v>
      </c>
      <c r="O215" s="1">
        <f t="shared" si="53"/>
        <v>71.399999999999991</v>
      </c>
    </row>
    <row r="216" spans="1:15" x14ac:dyDescent="0.35">
      <c r="A216" s="1" t="s">
        <v>15</v>
      </c>
      <c r="B216" s="1" t="s">
        <v>21</v>
      </c>
      <c r="C216" s="1" t="s">
        <v>42</v>
      </c>
      <c r="D216" s="1" t="s">
        <v>50</v>
      </c>
      <c r="E216" s="1" t="s">
        <v>62</v>
      </c>
      <c r="F216" s="1">
        <v>13</v>
      </c>
      <c r="G216" s="1" t="s">
        <v>23</v>
      </c>
      <c r="H216" s="1" t="s">
        <v>76</v>
      </c>
      <c r="I216" s="1">
        <v>238</v>
      </c>
      <c r="J216" s="1" t="s">
        <v>21</v>
      </c>
      <c r="K216" s="1">
        <f>+I216*15%</f>
        <v>35.699999999999996</v>
      </c>
      <c r="L216" s="1">
        <f>+I216*0%</f>
        <v>0</v>
      </c>
      <c r="M216" s="1">
        <f>+I216*0%</f>
        <v>0</v>
      </c>
      <c r="N216" s="1">
        <f>+I216*0%</f>
        <v>0</v>
      </c>
      <c r="O216" s="1">
        <f>+I216*0%</f>
        <v>0</v>
      </c>
    </row>
    <row r="217" spans="1:15" x14ac:dyDescent="0.35">
      <c r="A217" s="1" t="s">
        <v>15</v>
      </c>
      <c r="B217" s="1" t="s">
        <v>21</v>
      </c>
      <c r="C217" s="1" t="s">
        <v>42</v>
      </c>
      <c r="D217" s="1" t="s">
        <v>50</v>
      </c>
      <c r="E217" s="1" t="s">
        <v>63</v>
      </c>
      <c r="F217" s="1">
        <v>14</v>
      </c>
      <c r="G217" s="1" t="s">
        <v>23</v>
      </c>
      <c r="H217" s="1" t="s">
        <v>48</v>
      </c>
      <c r="I217" s="1">
        <v>238</v>
      </c>
      <c r="J217" s="1" t="s">
        <v>21</v>
      </c>
      <c r="K217" s="1">
        <f>+I217*15%</f>
        <v>35.699999999999996</v>
      </c>
      <c r="L217" s="1">
        <f>+$I$208*8.3%</f>
        <v>14.110000000000001</v>
      </c>
      <c r="M217" s="1">
        <f>+$I$208*6.7%</f>
        <v>11.39</v>
      </c>
      <c r="N217" s="1">
        <f>+$I$208*4%</f>
        <v>6.8</v>
      </c>
      <c r="O217" s="1">
        <f>+$I$208*23%</f>
        <v>39.1</v>
      </c>
    </row>
    <row r="218" spans="1:15" x14ac:dyDescent="0.35">
      <c r="A218" s="1" t="s">
        <v>38</v>
      </c>
      <c r="B218" s="1" t="s">
        <v>71</v>
      </c>
      <c r="C218" s="1" t="s">
        <v>42</v>
      </c>
      <c r="D218" s="1" t="s">
        <v>17</v>
      </c>
      <c r="E218" s="1" t="s">
        <v>18</v>
      </c>
      <c r="F218" s="1">
        <v>1</v>
      </c>
      <c r="G218" s="1" t="s">
        <v>23</v>
      </c>
      <c r="H218" s="1" t="s">
        <v>48</v>
      </c>
      <c r="I218" s="1">
        <v>238</v>
      </c>
      <c r="J218" s="1" t="s">
        <v>21</v>
      </c>
      <c r="K218" s="1">
        <f>+I218*15%</f>
        <v>35.699999999999996</v>
      </c>
      <c r="L218" s="1">
        <f>+I218*8.3%</f>
        <v>19.754000000000001</v>
      </c>
      <c r="M218" s="1">
        <f>+I218*6.7%</f>
        <v>15.946000000000002</v>
      </c>
      <c r="N218" s="1">
        <f>+I218*4%</f>
        <v>9.52</v>
      </c>
      <c r="O218" s="1">
        <f>+I218*23%</f>
        <v>54.74</v>
      </c>
    </row>
    <row r="219" spans="1:15" x14ac:dyDescent="0.35">
      <c r="A219" s="1" t="s">
        <v>38</v>
      </c>
      <c r="B219" s="1" t="s">
        <v>72</v>
      </c>
      <c r="C219" s="1" t="s">
        <v>42</v>
      </c>
      <c r="D219" s="1" t="s">
        <v>17</v>
      </c>
      <c r="E219" s="1" t="s">
        <v>31</v>
      </c>
      <c r="F219" s="1">
        <v>2</v>
      </c>
      <c r="G219" s="1" t="s">
        <v>23</v>
      </c>
      <c r="H219" s="1" t="s">
        <v>73</v>
      </c>
      <c r="I219" s="1">
        <v>238</v>
      </c>
      <c r="J219" s="1" t="s">
        <v>21</v>
      </c>
      <c r="K219" s="1">
        <f>+I219*12%</f>
        <v>28.56</v>
      </c>
      <c r="L219" s="1">
        <f>+I219*0.7%</f>
        <v>1.6659999999999999</v>
      </c>
      <c r="M219" s="1">
        <f>+I219*11%</f>
        <v>26.18</v>
      </c>
      <c r="N219" s="1">
        <f>+I219*4%</f>
        <v>9.52</v>
      </c>
      <c r="O219" s="1">
        <f>+I219*27%</f>
        <v>64.260000000000005</v>
      </c>
    </row>
    <row r="220" spans="1:15" x14ac:dyDescent="0.35">
      <c r="A220" s="1" t="s">
        <v>38</v>
      </c>
      <c r="B220" s="1" t="s">
        <v>46</v>
      </c>
      <c r="C220" s="1" t="s">
        <v>42</v>
      </c>
      <c r="D220" s="1" t="s">
        <v>17</v>
      </c>
      <c r="E220" s="1" t="s">
        <v>33</v>
      </c>
      <c r="F220" s="1">
        <v>3</v>
      </c>
      <c r="G220" s="1" t="s">
        <v>23</v>
      </c>
      <c r="H220" s="1" t="s">
        <v>74</v>
      </c>
      <c r="I220" s="1">
        <v>204</v>
      </c>
      <c r="J220" s="1" t="s">
        <v>21</v>
      </c>
      <c r="K220" s="1">
        <f>+I220*12%</f>
        <v>24.48</v>
      </c>
      <c r="L220" s="1">
        <f t="shared" ref="L220:L221" si="54">+I220*0.7%</f>
        <v>1.4279999999999999</v>
      </c>
      <c r="M220" s="1">
        <f t="shared" ref="M220:M221" si="55">+I220*11%</f>
        <v>22.44</v>
      </c>
      <c r="N220" s="1">
        <f t="shared" ref="N220:N221" si="56">+I220*4%</f>
        <v>8.16</v>
      </c>
      <c r="O220" s="1">
        <f t="shared" ref="O220:O221" si="57">+I220*27%</f>
        <v>55.080000000000005</v>
      </c>
    </row>
    <row r="221" spans="1:15" x14ac:dyDescent="0.35">
      <c r="A221" s="1" t="s">
        <v>38</v>
      </c>
      <c r="B221" s="1" t="s">
        <v>47</v>
      </c>
      <c r="C221" s="1" t="s">
        <v>42</v>
      </c>
      <c r="D221" s="1" t="s">
        <v>17</v>
      </c>
      <c r="E221" s="1" t="s">
        <v>36</v>
      </c>
      <c r="F221" s="1">
        <v>4</v>
      </c>
      <c r="G221" s="1" t="s">
        <v>23</v>
      </c>
      <c r="H221" s="1" t="s">
        <v>74</v>
      </c>
      <c r="I221" s="1">
        <v>238</v>
      </c>
      <c r="J221" s="1" t="s">
        <v>21</v>
      </c>
      <c r="K221" s="1">
        <f>+I221*12%</f>
        <v>28.56</v>
      </c>
      <c r="L221" s="1">
        <f t="shared" si="54"/>
        <v>1.6659999999999999</v>
      </c>
      <c r="M221" s="1">
        <f t="shared" si="55"/>
        <v>26.18</v>
      </c>
      <c r="N221" s="1">
        <f t="shared" si="56"/>
        <v>9.52</v>
      </c>
      <c r="O221" s="1">
        <f t="shared" si="57"/>
        <v>64.260000000000005</v>
      </c>
    </row>
    <row r="222" spans="1:15" x14ac:dyDescent="0.35">
      <c r="A222" s="1" t="s">
        <v>38</v>
      </c>
      <c r="B222" s="1" t="s">
        <v>21</v>
      </c>
      <c r="C222" s="1" t="s">
        <v>42</v>
      </c>
      <c r="D222" s="1" t="s">
        <v>17</v>
      </c>
      <c r="E222" s="1" t="s">
        <v>37</v>
      </c>
      <c r="F222" s="1">
        <v>5</v>
      </c>
      <c r="G222" s="1" t="s">
        <v>23</v>
      </c>
      <c r="H222" s="1" t="s">
        <v>48</v>
      </c>
      <c r="I222" s="1">
        <v>170</v>
      </c>
      <c r="J222" s="1" t="s">
        <v>21</v>
      </c>
      <c r="K222" s="1">
        <f>+I222*15%</f>
        <v>25.5</v>
      </c>
      <c r="L222" s="1">
        <f>+$I$208*8.3%</f>
        <v>14.110000000000001</v>
      </c>
      <c r="M222" s="1">
        <f>+$I$208*6.7%</f>
        <v>11.39</v>
      </c>
      <c r="N222" s="1">
        <f>+$I$208*4%</f>
        <v>6.8</v>
      </c>
      <c r="O222" s="1">
        <f>+$I$208*23%</f>
        <v>39.1</v>
      </c>
    </row>
    <row r="223" spans="1:15" x14ac:dyDescent="0.35">
      <c r="A223" s="1" t="s">
        <v>38</v>
      </c>
      <c r="B223" s="1" t="s">
        <v>21</v>
      </c>
      <c r="C223" s="1" t="s">
        <v>42</v>
      </c>
      <c r="D223" s="1" t="s">
        <v>17</v>
      </c>
      <c r="E223" s="1" t="s">
        <v>49</v>
      </c>
      <c r="F223" s="1">
        <v>6</v>
      </c>
      <c r="G223" s="1" t="s">
        <v>23</v>
      </c>
      <c r="H223" s="1" t="s">
        <v>75</v>
      </c>
      <c r="I223" s="1">
        <v>170</v>
      </c>
      <c r="J223" s="1" t="s">
        <v>21</v>
      </c>
      <c r="K223" s="1">
        <f>+I223*13%</f>
        <v>22.1</v>
      </c>
      <c r="L223" s="1">
        <f>+I223*1.5%</f>
        <v>2.5499999999999998</v>
      </c>
      <c r="M223" s="1">
        <f>+I223*11.5%</f>
        <v>19.55</v>
      </c>
      <c r="N223" s="1">
        <f>+I223*5%</f>
        <v>8.5</v>
      </c>
      <c r="O223" s="1">
        <f>+I223*30%</f>
        <v>51</v>
      </c>
    </row>
    <row r="224" spans="1:15" x14ac:dyDescent="0.35">
      <c r="A224" s="1" t="s">
        <v>38</v>
      </c>
      <c r="B224" s="1" t="s">
        <v>21</v>
      </c>
      <c r="C224" s="1" t="s">
        <v>42</v>
      </c>
      <c r="D224" s="1" t="s">
        <v>50</v>
      </c>
      <c r="E224" s="1" t="s">
        <v>51</v>
      </c>
      <c r="F224" s="1">
        <v>7</v>
      </c>
      <c r="G224" s="1" t="s">
        <v>23</v>
      </c>
      <c r="H224" s="1" t="s">
        <v>75</v>
      </c>
      <c r="I224" s="1">
        <v>170</v>
      </c>
      <c r="J224" s="1" t="s">
        <v>21</v>
      </c>
      <c r="K224" s="1">
        <f t="shared" ref="K224:K229" si="58">+I224*13%</f>
        <v>22.1</v>
      </c>
      <c r="L224" s="1">
        <f t="shared" ref="L224:L229" si="59">+I224*1.5%</f>
        <v>2.5499999999999998</v>
      </c>
      <c r="M224" s="1">
        <f t="shared" ref="M224:M229" si="60">+I224*11.5%</f>
        <v>19.55</v>
      </c>
      <c r="N224" s="1">
        <f t="shared" ref="N224:N229" si="61">+I224*5%</f>
        <v>8.5</v>
      </c>
      <c r="O224" s="1">
        <f t="shared" ref="O224:O229" si="62">+I224*30%</f>
        <v>51</v>
      </c>
    </row>
    <row r="225" spans="1:15" x14ac:dyDescent="0.35">
      <c r="A225" s="1" t="s">
        <v>38</v>
      </c>
      <c r="B225" s="1" t="s">
        <v>21</v>
      </c>
      <c r="C225" s="1" t="s">
        <v>42</v>
      </c>
      <c r="D225" s="1" t="s">
        <v>50</v>
      </c>
      <c r="E225" s="1" t="s">
        <v>53</v>
      </c>
      <c r="F225" s="1">
        <v>8</v>
      </c>
      <c r="G225" s="1" t="s">
        <v>23</v>
      </c>
      <c r="H225" s="1" t="s">
        <v>75</v>
      </c>
      <c r="I225" s="1">
        <v>170</v>
      </c>
      <c r="J225" s="1" t="s">
        <v>21</v>
      </c>
      <c r="K225" s="1">
        <f t="shared" si="58"/>
        <v>22.1</v>
      </c>
      <c r="L225" s="1">
        <f t="shared" si="59"/>
        <v>2.5499999999999998</v>
      </c>
      <c r="M225" s="1">
        <f t="shared" si="60"/>
        <v>19.55</v>
      </c>
      <c r="N225" s="1">
        <f t="shared" si="61"/>
        <v>8.5</v>
      </c>
      <c r="O225" s="1">
        <f t="shared" si="62"/>
        <v>51</v>
      </c>
    </row>
    <row r="226" spans="1:15" x14ac:dyDescent="0.35">
      <c r="A226" s="1" t="s">
        <v>38</v>
      </c>
      <c r="B226" s="1" t="s">
        <v>21</v>
      </c>
      <c r="C226" s="1" t="s">
        <v>42</v>
      </c>
      <c r="D226" s="1" t="s">
        <v>50</v>
      </c>
      <c r="E226" s="1" t="s">
        <v>55</v>
      </c>
      <c r="F226" s="1">
        <v>9</v>
      </c>
      <c r="G226" s="1" t="s">
        <v>23</v>
      </c>
      <c r="H226" s="1" t="s">
        <v>75</v>
      </c>
      <c r="I226" s="1">
        <v>238</v>
      </c>
      <c r="J226" s="1" t="s">
        <v>21</v>
      </c>
      <c r="K226" s="1">
        <f t="shared" si="58"/>
        <v>30.94</v>
      </c>
      <c r="L226" s="1">
        <f t="shared" si="59"/>
        <v>3.57</v>
      </c>
      <c r="M226" s="1">
        <f t="shared" si="60"/>
        <v>27.37</v>
      </c>
      <c r="N226" s="1">
        <f t="shared" si="61"/>
        <v>11.9</v>
      </c>
      <c r="O226" s="1">
        <f t="shared" si="62"/>
        <v>71.399999999999991</v>
      </c>
    </row>
    <row r="227" spans="1:15" x14ac:dyDescent="0.35">
      <c r="A227" s="1" t="s">
        <v>38</v>
      </c>
      <c r="B227" s="1" t="s">
        <v>21</v>
      </c>
      <c r="C227" s="1" t="s">
        <v>42</v>
      </c>
      <c r="D227" s="1" t="s">
        <v>50</v>
      </c>
      <c r="E227" s="1" t="s">
        <v>57</v>
      </c>
      <c r="F227" s="1">
        <v>10</v>
      </c>
      <c r="G227" s="1" t="s">
        <v>23</v>
      </c>
      <c r="H227" s="1" t="s">
        <v>75</v>
      </c>
      <c r="I227" s="1">
        <v>238</v>
      </c>
      <c r="J227" s="1" t="s">
        <v>21</v>
      </c>
      <c r="K227" s="1">
        <f t="shared" si="58"/>
        <v>30.94</v>
      </c>
      <c r="L227" s="1">
        <f t="shared" si="59"/>
        <v>3.57</v>
      </c>
      <c r="M227" s="1">
        <f t="shared" si="60"/>
        <v>27.37</v>
      </c>
      <c r="N227" s="1">
        <f t="shared" si="61"/>
        <v>11.9</v>
      </c>
      <c r="O227" s="1">
        <f t="shared" si="62"/>
        <v>71.399999999999991</v>
      </c>
    </row>
    <row r="228" spans="1:15" x14ac:dyDescent="0.35">
      <c r="A228" s="1" t="s">
        <v>38</v>
      </c>
      <c r="B228" s="1" t="s">
        <v>21</v>
      </c>
      <c r="C228" s="1" t="s">
        <v>42</v>
      </c>
      <c r="D228" s="1" t="s">
        <v>50</v>
      </c>
      <c r="E228" s="1" t="s">
        <v>58</v>
      </c>
      <c r="F228" s="1">
        <v>11</v>
      </c>
      <c r="G228" s="1" t="s">
        <v>23</v>
      </c>
      <c r="H228" s="1" t="s">
        <v>75</v>
      </c>
      <c r="I228" s="1">
        <v>238</v>
      </c>
      <c r="J228" s="1" t="s">
        <v>21</v>
      </c>
      <c r="K228" s="1">
        <f t="shared" si="58"/>
        <v>30.94</v>
      </c>
      <c r="L228" s="1">
        <f t="shared" si="59"/>
        <v>3.57</v>
      </c>
      <c r="M228" s="1">
        <f t="shared" si="60"/>
        <v>27.37</v>
      </c>
      <c r="N228" s="1">
        <f t="shared" si="61"/>
        <v>11.9</v>
      </c>
      <c r="O228" s="1">
        <f t="shared" si="62"/>
        <v>71.399999999999991</v>
      </c>
    </row>
    <row r="229" spans="1:15" x14ac:dyDescent="0.35">
      <c r="A229" s="1" t="s">
        <v>38</v>
      </c>
      <c r="B229" s="1" t="s">
        <v>21</v>
      </c>
      <c r="C229" s="1" t="s">
        <v>42</v>
      </c>
      <c r="D229" s="1" t="s">
        <v>50</v>
      </c>
      <c r="E229" s="1" t="s">
        <v>60</v>
      </c>
      <c r="F229" s="1">
        <v>12</v>
      </c>
      <c r="G229" s="1" t="s">
        <v>23</v>
      </c>
      <c r="H229" s="1" t="s">
        <v>75</v>
      </c>
      <c r="I229" s="1">
        <v>238</v>
      </c>
      <c r="J229" s="1" t="s">
        <v>21</v>
      </c>
      <c r="K229" s="1">
        <f t="shared" si="58"/>
        <v>30.94</v>
      </c>
      <c r="L229" s="1">
        <f t="shared" si="59"/>
        <v>3.57</v>
      </c>
      <c r="M229" s="1">
        <f t="shared" si="60"/>
        <v>27.37</v>
      </c>
      <c r="N229" s="1">
        <f t="shared" si="61"/>
        <v>11.9</v>
      </c>
      <c r="O229" s="1">
        <f t="shared" si="62"/>
        <v>71.399999999999991</v>
      </c>
    </row>
    <row r="230" spans="1:15" x14ac:dyDescent="0.35">
      <c r="A230" s="1" t="s">
        <v>38</v>
      </c>
      <c r="B230" s="1" t="s">
        <v>21</v>
      </c>
      <c r="C230" s="1" t="s">
        <v>42</v>
      </c>
      <c r="D230" s="1" t="s">
        <v>50</v>
      </c>
      <c r="E230" s="1" t="s">
        <v>62</v>
      </c>
      <c r="F230" s="1">
        <v>13</v>
      </c>
      <c r="G230" s="1" t="s">
        <v>23</v>
      </c>
      <c r="H230" s="1" t="s">
        <v>76</v>
      </c>
      <c r="I230" s="1">
        <v>238</v>
      </c>
      <c r="J230" s="1" t="s">
        <v>21</v>
      </c>
      <c r="K230" s="1">
        <f>+I230*15%</f>
        <v>35.699999999999996</v>
      </c>
      <c r="L230" s="1">
        <f>+I230*0%</f>
        <v>0</v>
      </c>
      <c r="M230" s="1">
        <f>+I230*0%</f>
        <v>0</v>
      </c>
      <c r="N230" s="1">
        <f>+I230*0%</f>
        <v>0</v>
      </c>
      <c r="O230" s="1">
        <f>+I230*0%</f>
        <v>0</v>
      </c>
    </row>
    <row r="231" spans="1:15" x14ac:dyDescent="0.35">
      <c r="A231" s="1" t="s">
        <v>38</v>
      </c>
      <c r="B231" s="1" t="s">
        <v>21</v>
      </c>
      <c r="C231" s="1" t="s">
        <v>42</v>
      </c>
      <c r="D231" s="1" t="s">
        <v>50</v>
      </c>
      <c r="E231" s="1" t="s">
        <v>63</v>
      </c>
      <c r="F231" s="1">
        <v>14</v>
      </c>
      <c r="G231" s="1" t="s">
        <v>23</v>
      </c>
      <c r="H231" s="1" t="s">
        <v>48</v>
      </c>
      <c r="I231" s="1">
        <v>238</v>
      </c>
      <c r="J231" s="1" t="s">
        <v>21</v>
      </c>
      <c r="K231" s="1">
        <f>+I231*15%</f>
        <v>35.699999999999996</v>
      </c>
      <c r="L231" s="1">
        <f>+$I$208*8.3%</f>
        <v>14.110000000000001</v>
      </c>
      <c r="M231" s="1">
        <f>+$I$208*6.7%</f>
        <v>11.39</v>
      </c>
      <c r="N231" s="1">
        <f>+$I$208*4%</f>
        <v>6.8</v>
      </c>
      <c r="O231" s="1">
        <f>+$I$208*23%</f>
        <v>39.1</v>
      </c>
    </row>
    <row r="232" spans="1:15" x14ac:dyDescent="0.35">
      <c r="A232" s="1" t="s">
        <v>40</v>
      </c>
      <c r="B232" s="1" t="s">
        <v>71</v>
      </c>
      <c r="C232" s="1" t="s">
        <v>42</v>
      </c>
      <c r="D232" s="1" t="s">
        <v>17</v>
      </c>
      <c r="E232" s="1" t="s">
        <v>18</v>
      </c>
      <c r="F232" s="1">
        <v>1</v>
      </c>
      <c r="G232" s="1" t="s">
        <v>23</v>
      </c>
      <c r="H232" s="1" t="s">
        <v>48</v>
      </c>
      <c r="I232" s="1">
        <v>238</v>
      </c>
      <c r="J232" s="1" t="s">
        <v>21</v>
      </c>
      <c r="K232" s="1">
        <f>+I232*15%</f>
        <v>35.699999999999996</v>
      </c>
      <c r="L232" s="1">
        <f>+I232*8.3%</f>
        <v>19.754000000000001</v>
      </c>
      <c r="M232" s="1">
        <f>+I232*6.7%</f>
        <v>15.946000000000002</v>
      </c>
      <c r="N232" s="1">
        <f>+I232*4%</f>
        <v>9.52</v>
      </c>
      <c r="O232" s="1">
        <f>+I232*23%</f>
        <v>54.74</v>
      </c>
    </row>
    <row r="233" spans="1:15" x14ac:dyDescent="0.35">
      <c r="A233" s="1" t="s">
        <v>40</v>
      </c>
      <c r="B233" s="1" t="s">
        <v>72</v>
      </c>
      <c r="C233" s="1" t="s">
        <v>42</v>
      </c>
      <c r="D233" s="1" t="s">
        <v>17</v>
      </c>
      <c r="E233" s="1" t="s">
        <v>31</v>
      </c>
      <c r="F233" s="1">
        <v>2</v>
      </c>
      <c r="G233" s="1" t="s">
        <v>23</v>
      </c>
      <c r="H233" s="1" t="s">
        <v>73</v>
      </c>
      <c r="I233" s="1">
        <v>238</v>
      </c>
      <c r="J233" s="1" t="s">
        <v>21</v>
      </c>
      <c r="K233" s="1">
        <f>+I233*12%</f>
        <v>28.56</v>
      </c>
      <c r="L233" s="1">
        <f>+I233*0.7%</f>
        <v>1.6659999999999999</v>
      </c>
      <c r="M233" s="1">
        <f>+I233*11%</f>
        <v>26.18</v>
      </c>
      <c r="N233" s="1">
        <f>+I233*4%</f>
        <v>9.52</v>
      </c>
      <c r="O233" s="1">
        <f>+I233*27%</f>
        <v>64.260000000000005</v>
      </c>
    </row>
    <row r="234" spans="1:15" x14ac:dyDescent="0.35">
      <c r="A234" s="1" t="s">
        <v>40</v>
      </c>
      <c r="B234" s="1" t="s">
        <v>67</v>
      </c>
      <c r="C234" s="1" t="s">
        <v>42</v>
      </c>
      <c r="D234" s="1" t="s">
        <v>17</v>
      </c>
      <c r="E234" s="1" t="s">
        <v>33</v>
      </c>
      <c r="F234" s="1">
        <v>3</v>
      </c>
      <c r="G234" s="1" t="s">
        <v>23</v>
      </c>
      <c r="H234" s="1" t="s">
        <v>74</v>
      </c>
      <c r="I234" s="1">
        <v>204</v>
      </c>
      <c r="J234" s="1" t="s">
        <v>21</v>
      </c>
      <c r="K234" s="1">
        <f>+I234*12%</f>
        <v>24.48</v>
      </c>
      <c r="L234" s="1">
        <f t="shared" ref="L234:L235" si="63">+I234*0.7%</f>
        <v>1.4279999999999999</v>
      </c>
      <c r="M234" s="1">
        <f t="shared" ref="M234:M235" si="64">+I234*11%</f>
        <v>22.44</v>
      </c>
      <c r="N234" s="1">
        <f t="shared" ref="N234:N235" si="65">+I234*4%</f>
        <v>8.16</v>
      </c>
      <c r="O234" s="1">
        <f t="shared" ref="O234:O235" si="66">+I234*27%</f>
        <v>55.080000000000005</v>
      </c>
    </row>
    <row r="235" spans="1:15" x14ac:dyDescent="0.35">
      <c r="A235" s="1" t="s">
        <v>40</v>
      </c>
      <c r="B235" s="1" t="s">
        <v>68</v>
      </c>
      <c r="C235" s="1" t="s">
        <v>42</v>
      </c>
      <c r="D235" s="1" t="s">
        <v>17</v>
      </c>
      <c r="E235" s="1" t="s">
        <v>36</v>
      </c>
      <c r="F235" s="1">
        <v>4</v>
      </c>
      <c r="G235" s="1" t="s">
        <v>23</v>
      </c>
      <c r="H235" s="1" t="s">
        <v>74</v>
      </c>
      <c r="I235" s="1">
        <v>238</v>
      </c>
      <c r="J235" s="1" t="s">
        <v>21</v>
      </c>
      <c r="K235" s="1">
        <f>+I235*12%</f>
        <v>28.56</v>
      </c>
      <c r="L235" s="1">
        <f t="shared" si="63"/>
        <v>1.6659999999999999</v>
      </c>
      <c r="M235" s="1">
        <f t="shared" si="64"/>
        <v>26.18</v>
      </c>
      <c r="N235" s="1">
        <f t="shared" si="65"/>
        <v>9.52</v>
      </c>
      <c r="O235" s="1">
        <f t="shared" si="66"/>
        <v>64.260000000000005</v>
      </c>
    </row>
    <row r="236" spans="1:15" x14ac:dyDescent="0.35">
      <c r="A236" s="1" t="s">
        <v>40</v>
      </c>
      <c r="B236" s="1" t="s">
        <v>21</v>
      </c>
      <c r="C236" s="1" t="s">
        <v>42</v>
      </c>
      <c r="D236" s="1" t="s">
        <v>17</v>
      </c>
      <c r="E236" s="1" t="s">
        <v>37</v>
      </c>
      <c r="F236" s="1">
        <v>5</v>
      </c>
      <c r="G236" s="1" t="s">
        <v>23</v>
      </c>
      <c r="H236" s="1" t="s">
        <v>48</v>
      </c>
      <c r="I236" s="1">
        <v>170</v>
      </c>
      <c r="J236" s="1" t="s">
        <v>21</v>
      </c>
      <c r="K236" s="1">
        <f>+I236*15%</f>
        <v>25.5</v>
      </c>
      <c r="L236" s="1">
        <f>+$I$208*8.3%</f>
        <v>14.110000000000001</v>
      </c>
      <c r="M236" s="1">
        <f>+$I$208*6.7%</f>
        <v>11.39</v>
      </c>
      <c r="N236" s="1">
        <f>+$I$208*4%</f>
        <v>6.8</v>
      </c>
      <c r="O236" s="1">
        <f>+$I$208*23%</f>
        <v>39.1</v>
      </c>
    </row>
    <row r="237" spans="1:15" x14ac:dyDescent="0.35">
      <c r="A237" s="1" t="s">
        <v>40</v>
      </c>
      <c r="B237" s="1" t="s">
        <v>21</v>
      </c>
      <c r="C237" s="1" t="s">
        <v>42</v>
      </c>
      <c r="D237" s="1" t="s">
        <v>17</v>
      </c>
      <c r="E237" s="1" t="s">
        <v>49</v>
      </c>
      <c r="F237" s="1">
        <v>6</v>
      </c>
      <c r="G237" s="1" t="s">
        <v>23</v>
      </c>
      <c r="H237" s="1" t="s">
        <v>75</v>
      </c>
      <c r="I237" s="1">
        <v>170</v>
      </c>
      <c r="J237" s="1" t="s">
        <v>21</v>
      </c>
      <c r="K237" s="1">
        <f>+I237*13%</f>
        <v>22.1</v>
      </c>
      <c r="L237" s="1">
        <f>+I237*1.5%</f>
        <v>2.5499999999999998</v>
      </c>
      <c r="M237" s="1">
        <f>+I237*11.5%</f>
        <v>19.55</v>
      </c>
      <c r="N237" s="1">
        <f>+I237*5%</f>
        <v>8.5</v>
      </c>
      <c r="O237" s="1">
        <f>+I237*30%</f>
        <v>51</v>
      </c>
    </row>
    <row r="238" spans="1:15" x14ac:dyDescent="0.35">
      <c r="A238" s="1" t="s">
        <v>40</v>
      </c>
      <c r="B238" s="1" t="s">
        <v>21</v>
      </c>
      <c r="C238" s="1" t="s">
        <v>42</v>
      </c>
      <c r="D238" s="1" t="s">
        <v>50</v>
      </c>
      <c r="E238" s="1" t="s">
        <v>51</v>
      </c>
      <c r="F238" s="1">
        <v>7</v>
      </c>
      <c r="G238" s="1" t="s">
        <v>23</v>
      </c>
      <c r="H238" s="1" t="s">
        <v>75</v>
      </c>
      <c r="I238" s="1">
        <v>170</v>
      </c>
      <c r="J238" s="1" t="s">
        <v>21</v>
      </c>
      <c r="K238" s="1">
        <f t="shared" ref="K238:K243" si="67">+I238*13%</f>
        <v>22.1</v>
      </c>
      <c r="L238" s="1">
        <f t="shared" ref="L238:L243" si="68">+I238*1.5%</f>
        <v>2.5499999999999998</v>
      </c>
      <c r="M238" s="1">
        <f t="shared" ref="M238:M243" si="69">+I238*11.5%</f>
        <v>19.55</v>
      </c>
      <c r="N238" s="1">
        <f t="shared" ref="N238:N243" si="70">+I238*5%</f>
        <v>8.5</v>
      </c>
      <c r="O238" s="1">
        <f t="shared" ref="O238:O243" si="71">+I238*30%</f>
        <v>51</v>
      </c>
    </row>
    <row r="239" spans="1:15" x14ac:dyDescent="0.35">
      <c r="A239" s="1" t="s">
        <v>40</v>
      </c>
      <c r="B239" s="1" t="s">
        <v>21</v>
      </c>
      <c r="C239" s="1" t="s">
        <v>42</v>
      </c>
      <c r="D239" s="1" t="s">
        <v>50</v>
      </c>
      <c r="E239" s="1" t="s">
        <v>53</v>
      </c>
      <c r="F239" s="1">
        <v>8</v>
      </c>
      <c r="G239" s="1" t="s">
        <v>23</v>
      </c>
      <c r="H239" s="1" t="s">
        <v>75</v>
      </c>
      <c r="I239" s="1">
        <v>170</v>
      </c>
      <c r="J239" s="1" t="s">
        <v>21</v>
      </c>
      <c r="K239" s="1">
        <f t="shared" si="67"/>
        <v>22.1</v>
      </c>
      <c r="L239" s="1">
        <f t="shared" si="68"/>
        <v>2.5499999999999998</v>
      </c>
      <c r="M239" s="1">
        <f t="shared" si="69"/>
        <v>19.55</v>
      </c>
      <c r="N239" s="1">
        <f t="shared" si="70"/>
        <v>8.5</v>
      </c>
      <c r="O239" s="1">
        <f t="shared" si="71"/>
        <v>51</v>
      </c>
    </row>
    <row r="240" spans="1:15" x14ac:dyDescent="0.35">
      <c r="A240" s="1" t="s">
        <v>40</v>
      </c>
      <c r="B240" s="1" t="s">
        <v>21</v>
      </c>
      <c r="C240" s="1" t="s">
        <v>42</v>
      </c>
      <c r="D240" s="1" t="s">
        <v>50</v>
      </c>
      <c r="E240" s="1" t="s">
        <v>55</v>
      </c>
      <c r="F240" s="1">
        <v>9</v>
      </c>
      <c r="G240" s="1" t="s">
        <v>23</v>
      </c>
      <c r="H240" s="1" t="s">
        <v>75</v>
      </c>
      <c r="I240" s="1">
        <v>238</v>
      </c>
      <c r="J240" s="1" t="s">
        <v>21</v>
      </c>
      <c r="K240" s="1">
        <f t="shared" si="67"/>
        <v>30.94</v>
      </c>
      <c r="L240" s="1">
        <f t="shared" si="68"/>
        <v>3.57</v>
      </c>
      <c r="M240" s="1">
        <f t="shared" si="69"/>
        <v>27.37</v>
      </c>
      <c r="N240" s="1">
        <f t="shared" si="70"/>
        <v>11.9</v>
      </c>
      <c r="O240" s="1">
        <f t="shared" si="71"/>
        <v>71.399999999999991</v>
      </c>
    </row>
    <row r="241" spans="1:15" x14ac:dyDescent="0.35">
      <c r="A241" s="1" t="s">
        <v>40</v>
      </c>
      <c r="B241" s="1" t="s">
        <v>21</v>
      </c>
      <c r="C241" s="1" t="s">
        <v>42</v>
      </c>
      <c r="D241" s="1" t="s">
        <v>50</v>
      </c>
      <c r="E241" s="1" t="s">
        <v>57</v>
      </c>
      <c r="F241" s="1">
        <v>10</v>
      </c>
      <c r="G241" s="1" t="s">
        <v>23</v>
      </c>
      <c r="H241" s="1" t="s">
        <v>75</v>
      </c>
      <c r="I241" s="1">
        <v>238</v>
      </c>
      <c r="J241" s="1" t="s">
        <v>21</v>
      </c>
      <c r="K241" s="1">
        <f t="shared" si="67"/>
        <v>30.94</v>
      </c>
      <c r="L241" s="1">
        <f t="shared" si="68"/>
        <v>3.57</v>
      </c>
      <c r="M241" s="1">
        <f t="shared" si="69"/>
        <v>27.37</v>
      </c>
      <c r="N241" s="1">
        <f t="shared" si="70"/>
        <v>11.9</v>
      </c>
      <c r="O241" s="1">
        <f t="shared" si="71"/>
        <v>71.399999999999991</v>
      </c>
    </row>
    <row r="242" spans="1:15" x14ac:dyDescent="0.35">
      <c r="A242" s="1" t="s">
        <v>40</v>
      </c>
      <c r="B242" s="1" t="s">
        <v>21</v>
      </c>
      <c r="C242" s="1" t="s">
        <v>42</v>
      </c>
      <c r="D242" s="1" t="s">
        <v>50</v>
      </c>
      <c r="E242" s="1" t="s">
        <v>58</v>
      </c>
      <c r="F242" s="1">
        <v>11</v>
      </c>
      <c r="G242" s="1" t="s">
        <v>23</v>
      </c>
      <c r="H242" s="1" t="s">
        <v>75</v>
      </c>
      <c r="I242" s="1">
        <v>238</v>
      </c>
      <c r="J242" s="1" t="s">
        <v>21</v>
      </c>
      <c r="K242" s="1">
        <f t="shared" si="67"/>
        <v>30.94</v>
      </c>
      <c r="L242" s="1">
        <f t="shared" si="68"/>
        <v>3.57</v>
      </c>
      <c r="M242" s="1">
        <f t="shared" si="69"/>
        <v>27.37</v>
      </c>
      <c r="N242" s="1">
        <f t="shared" si="70"/>
        <v>11.9</v>
      </c>
      <c r="O242" s="1">
        <f t="shared" si="71"/>
        <v>71.399999999999991</v>
      </c>
    </row>
    <row r="243" spans="1:15" x14ac:dyDescent="0.35">
      <c r="A243" s="1" t="s">
        <v>40</v>
      </c>
      <c r="B243" s="1" t="s">
        <v>21</v>
      </c>
      <c r="C243" s="1" t="s">
        <v>42</v>
      </c>
      <c r="D243" s="1" t="s">
        <v>50</v>
      </c>
      <c r="E243" s="1" t="s">
        <v>60</v>
      </c>
      <c r="F243" s="1">
        <v>12</v>
      </c>
      <c r="G243" s="1" t="s">
        <v>23</v>
      </c>
      <c r="H243" s="1" t="s">
        <v>75</v>
      </c>
      <c r="I243" s="1">
        <v>238</v>
      </c>
      <c r="J243" s="1" t="s">
        <v>21</v>
      </c>
      <c r="K243" s="1">
        <f t="shared" si="67"/>
        <v>30.94</v>
      </c>
      <c r="L243" s="1">
        <f t="shared" si="68"/>
        <v>3.57</v>
      </c>
      <c r="M243" s="1">
        <f t="shared" si="69"/>
        <v>27.37</v>
      </c>
      <c r="N243" s="1">
        <f t="shared" si="70"/>
        <v>11.9</v>
      </c>
      <c r="O243" s="1">
        <f t="shared" si="71"/>
        <v>71.399999999999991</v>
      </c>
    </row>
    <row r="244" spans="1:15" x14ac:dyDescent="0.35">
      <c r="A244" s="1" t="s">
        <v>40</v>
      </c>
      <c r="B244" s="1" t="s">
        <v>21</v>
      </c>
      <c r="C244" s="1" t="s">
        <v>42</v>
      </c>
      <c r="D244" s="1" t="s">
        <v>50</v>
      </c>
      <c r="E244" s="1" t="s">
        <v>62</v>
      </c>
      <c r="F244" s="1">
        <v>13</v>
      </c>
      <c r="G244" s="1" t="s">
        <v>23</v>
      </c>
      <c r="H244" s="1" t="s">
        <v>76</v>
      </c>
      <c r="I244" s="1">
        <v>238</v>
      </c>
      <c r="J244" s="1" t="s">
        <v>21</v>
      </c>
      <c r="K244" s="1">
        <f>+I244*15%</f>
        <v>35.699999999999996</v>
      </c>
      <c r="L244" s="1">
        <f>+I244*0%</f>
        <v>0</v>
      </c>
      <c r="M244" s="1">
        <f>+I244*0%</f>
        <v>0</v>
      </c>
      <c r="N244" s="1">
        <f>+I244*0%</f>
        <v>0</v>
      </c>
      <c r="O244" s="1">
        <f>+I244*0%</f>
        <v>0</v>
      </c>
    </row>
    <row r="245" spans="1:15" x14ac:dyDescent="0.35">
      <c r="A245" s="1" t="s">
        <v>40</v>
      </c>
      <c r="B245" s="1" t="s">
        <v>21</v>
      </c>
      <c r="C245" s="1" t="s">
        <v>42</v>
      </c>
      <c r="D245" s="1" t="s">
        <v>50</v>
      </c>
      <c r="E245" s="1" t="s">
        <v>63</v>
      </c>
      <c r="F245" s="1">
        <v>14</v>
      </c>
      <c r="G245" s="1" t="s">
        <v>23</v>
      </c>
      <c r="H245" s="1" t="s">
        <v>48</v>
      </c>
      <c r="I245" s="1">
        <v>238</v>
      </c>
      <c r="J245" s="1" t="s">
        <v>21</v>
      </c>
      <c r="K245" s="1">
        <f>+I245*15%</f>
        <v>35.699999999999996</v>
      </c>
      <c r="L245" s="1">
        <f>+$I$208*8.3%</f>
        <v>14.110000000000001</v>
      </c>
      <c r="M245" s="1">
        <f>+$I$208*6.7%</f>
        <v>11.39</v>
      </c>
      <c r="N245" s="1">
        <f>+$I$208*4%</f>
        <v>6.8</v>
      </c>
      <c r="O245" s="1">
        <f>+$I$208*23%</f>
        <v>39.1</v>
      </c>
    </row>
  </sheetData>
  <autoFilter ref="A1:L245" xr:uid="{3CA3D38B-9E40-4E9F-8415-A4349BC7491D}">
    <filterColumn colId="2">
      <filters>
        <filter val="Banano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2D4E-0346-4EE6-9F3F-3B949C7BD82C}">
  <dimension ref="A1:W25"/>
  <sheetViews>
    <sheetView topLeftCell="B1" zoomScale="85" zoomScaleNormal="85" workbookViewId="0">
      <selection activeCell="V8" sqref="V8"/>
    </sheetView>
  </sheetViews>
  <sheetFormatPr defaultRowHeight="14.5" x14ac:dyDescent="0.35"/>
  <cols>
    <col min="1" max="1" width="13.453125" bestFit="1" customWidth="1"/>
    <col min="3" max="3" width="12" bestFit="1" customWidth="1"/>
    <col min="4" max="4" width="12" customWidth="1"/>
    <col min="5" max="5" width="21.54296875" bestFit="1" customWidth="1"/>
    <col min="6" max="6" width="17.54296875" customWidth="1"/>
    <col min="7" max="7" width="21.54296875" bestFit="1" customWidth="1"/>
    <col min="8" max="8" width="14.81640625" bestFit="1" customWidth="1"/>
    <col min="9" max="9" width="13.7265625" bestFit="1" customWidth="1"/>
    <col min="10" max="10" width="13.7265625" customWidth="1"/>
    <col min="11" max="11" width="22.453125" bestFit="1" customWidth="1"/>
    <col min="12" max="12" width="14.7265625" bestFit="1" customWidth="1"/>
    <col min="13" max="13" width="14.26953125" bestFit="1" customWidth="1"/>
    <col min="14" max="14" width="11.81640625" bestFit="1" customWidth="1"/>
    <col min="15" max="15" width="18" bestFit="1" customWidth="1"/>
    <col min="16" max="16" width="12.26953125" bestFit="1" customWidth="1"/>
    <col min="17" max="17" width="12.26953125" customWidth="1"/>
    <col min="18" max="18" width="21.54296875" customWidth="1"/>
    <col min="19" max="19" width="13.81640625" bestFit="1" customWidth="1"/>
    <col min="20" max="20" width="12.26953125" bestFit="1" customWidth="1"/>
    <col min="21" max="21" width="12.1796875" bestFit="1" customWidth="1"/>
    <col min="22" max="22" width="13.81640625" bestFit="1" customWidth="1"/>
  </cols>
  <sheetData>
    <row r="1" spans="1:23" x14ac:dyDescent="0.35">
      <c r="A1" t="s">
        <v>0</v>
      </c>
      <c r="B1" t="s">
        <v>2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s="2" t="s">
        <v>160</v>
      </c>
      <c r="Q1" s="2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</row>
    <row r="2" spans="1:23" x14ac:dyDescent="0.35">
      <c r="A2" t="s">
        <v>15</v>
      </c>
      <c r="B2" t="s">
        <v>16</v>
      </c>
      <c r="C2" t="s">
        <v>118</v>
      </c>
      <c r="D2" t="s">
        <v>168</v>
      </c>
      <c r="E2">
        <v>10583.333333333334</v>
      </c>
      <c r="F2">
        <v>24.9</v>
      </c>
      <c r="G2">
        <f>+((E2*(100-24.9)/(100-24)))</f>
        <v>10458.004385964912</v>
      </c>
      <c r="H2">
        <v>169.33333333333334</v>
      </c>
      <c r="I2">
        <v>30</v>
      </c>
      <c r="J2">
        <v>9.6199999999999992</v>
      </c>
      <c r="K2">
        <v>24.9</v>
      </c>
      <c r="L2">
        <v>92.7</v>
      </c>
      <c r="M2">
        <f>100-L2</f>
        <v>7.2999999999999972</v>
      </c>
      <c r="N2">
        <f t="shared" ref="N2:N10" si="0">(J2*G2)/1000</f>
        <v>100.60600219298244</v>
      </c>
      <c r="O2">
        <v>179.93</v>
      </c>
      <c r="P2" s="2">
        <v>27.958559999999995</v>
      </c>
      <c r="Q2" s="2">
        <f>N2*100/O2</f>
        <v>55.91396776134188</v>
      </c>
      <c r="R2">
        <f>(N2*100)/(O2+P2)</f>
        <v>48.394198407542213</v>
      </c>
      <c r="S2">
        <v>14.609832127192982</v>
      </c>
      <c r="T2" s="9">
        <v>1.3105344999999999</v>
      </c>
      <c r="U2" s="9">
        <v>0</v>
      </c>
      <c r="V2" s="9">
        <v>0.18959999999999999</v>
      </c>
      <c r="W2" s="10">
        <v>1.5001344999999999</v>
      </c>
    </row>
    <row r="3" spans="1:23" x14ac:dyDescent="0.35">
      <c r="A3" t="s">
        <v>15</v>
      </c>
      <c r="B3" t="s">
        <v>16</v>
      </c>
      <c r="C3" t="s">
        <v>119</v>
      </c>
      <c r="D3" t="s">
        <v>168</v>
      </c>
      <c r="E3">
        <v>12637.5</v>
      </c>
      <c r="F3">
        <v>29.7</v>
      </c>
      <c r="G3">
        <f>+((E3*(100-29.4)/(100-24)))</f>
        <v>11739.572368421052</v>
      </c>
      <c r="H3">
        <v>202.2</v>
      </c>
      <c r="I3">
        <v>50</v>
      </c>
      <c r="J3">
        <v>9.14</v>
      </c>
      <c r="K3">
        <v>29.7</v>
      </c>
      <c r="L3">
        <v>91.5</v>
      </c>
      <c r="M3">
        <f t="shared" ref="M3:M4" si="1">100-L3</f>
        <v>8.5</v>
      </c>
      <c r="N3">
        <f t="shared" si="0"/>
        <v>107.29969144736842</v>
      </c>
      <c r="O3">
        <v>165.48000000000002</v>
      </c>
      <c r="P3" s="2">
        <v>33.106079999999999</v>
      </c>
      <c r="Q3" s="2">
        <f t="shared" ref="Q3:Q10" si="2">N3*100/O3</f>
        <v>64.841486250524781</v>
      </c>
      <c r="R3">
        <f t="shared" ref="R3:R10" si="3">(N3*100)/(O3+P3)</f>
        <v>54.031829142993516</v>
      </c>
      <c r="S3">
        <v>16.400182598684211</v>
      </c>
      <c r="T3" s="9">
        <v>1.1688799999999999</v>
      </c>
      <c r="U3" s="9">
        <v>0</v>
      </c>
      <c r="V3" s="9">
        <v>0.18134</v>
      </c>
      <c r="W3" s="10">
        <v>1.35022</v>
      </c>
    </row>
    <row r="4" spans="1:23" x14ac:dyDescent="0.35">
      <c r="A4" t="s">
        <v>15</v>
      </c>
      <c r="B4" t="s">
        <v>16</v>
      </c>
      <c r="C4" t="s">
        <v>114</v>
      </c>
      <c r="D4" t="s">
        <v>168</v>
      </c>
      <c r="E4">
        <v>11308.333333333334</v>
      </c>
      <c r="F4">
        <v>24.4</v>
      </c>
      <c r="G4">
        <f>+((E4*(100-24.4)/(100-24)))</f>
        <v>11248.815789473685</v>
      </c>
      <c r="H4">
        <v>180.93333333333334</v>
      </c>
      <c r="I4">
        <v>10</v>
      </c>
      <c r="J4">
        <v>11.19</v>
      </c>
      <c r="K4">
        <v>24.4</v>
      </c>
      <c r="L4">
        <v>95.1</v>
      </c>
      <c r="M4">
        <f t="shared" si="1"/>
        <v>4.9000000000000057</v>
      </c>
      <c r="N4">
        <f t="shared" si="0"/>
        <v>125.87424868421053</v>
      </c>
      <c r="O4">
        <v>144.08000000000001</v>
      </c>
      <c r="P4" s="2">
        <v>26.530560000000001</v>
      </c>
      <c r="Q4" s="2">
        <f t="shared" si="2"/>
        <v>87.364137065665261</v>
      </c>
      <c r="R4">
        <f t="shared" si="3"/>
        <v>73.778697335153524</v>
      </c>
      <c r="S4">
        <v>15.714595657894737</v>
      </c>
      <c r="T4" s="9">
        <v>1.23648</v>
      </c>
      <c r="U4" s="9">
        <v>0.109</v>
      </c>
      <c r="V4" s="9">
        <v>0.23139999999999999</v>
      </c>
      <c r="W4" s="10">
        <v>1.5768800000000001</v>
      </c>
    </row>
    <row r="5" spans="1:23" x14ac:dyDescent="0.35">
      <c r="A5" t="s">
        <v>38</v>
      </c>
      <c r="B5" t="s">
        <v>16</v>
      </c>
      <c r="C5" t="s">
        <v>118</v>
      </c>
      <c r="D5" t="s">
        <v>168</v>
      </c>
      <c r="E5">
        <v>9800</v>
      </c>
      <c r="F5">
        <v>24.9</v>
      </c>
      <c r="G5">
        <f>+((E5*(100-23.3)/(100-24)))</f>
        <v>9890.2631578947367</v>
      </c>
      <c r="H5">
        <v>156.80000000000001</v>
      </c>
      <c r="I5">
        <v>60</v>
      </c>
      <c r="J5">
        <v>11.41</v>
      </c>
      <c r="K5">
        <v>24.9</v>
      </c>
      <c r="L5">
        <f>100-M5</f>
        <v>92.7</v>
      </c>
      <c r="M5">
        <v>7.3</v>
      </c>
      <c r="N5">
        <f t="shared" si="0"/>
        <v>112.84790263157895</v>
      </c>
      <c r="O5">
        <v>179.92000000000002</v>
      </c>
      <c r="P5" s="2">
        <v>26.167679999999997</v>
      </c>
      <c r="Q5" s="2">
        <f t="shared" si="2"/>
        <v>62.721155308792206</v>
      </c>
      <c r="R5">
        <f t="shared" si="3"/>
        <v>54.757228880241136</v>
      </c>
      <c r="S5">
        <v>13.816697631578947</v>
      </c>
      <c r="T5" s="9">
        <v>0.98978421999999999</v>
      </c>
      <c r="U5" s="9">
        <v>0</v>
      </c>
      <c r="V5" s="9">
        <v>0.18731999999999999</v>
      </c>
      <c r="W5" s="10">
        <v>1.1771042199999999</v>
      </c>
    </row>
    <row r="6" spans="1:23" x14ac:dyDescent="0.35">
      <c r="A6" t="s">
        <v>38</v>
      </c>
      <c r="B6" t="s">
        <v>16</v>
      </c>
      <c r="C6" t="s">
        <v>119</v>
      </c>
      <c r="D6" t="s">
        <v>168</v>
      </c>
      <c r="E6">
        <v>8841.6666666666661</v>
      </c>
      <c r="F6">
        <v>23.1</v>
      </c>
      <c r="G6">
        <f>+((E6*(100-23.1)/(100-24)))</f>
        <v>8946.3706140350878</v>
      </c>
      <c r="H6">
        <v>141.46666666666667</v>
      </c>
      <c r="I6">
        <v>70</v>
      </c>
      <c r="J6">
        <v>10</v>
      </c>
      <c r="K6">
        <v>23.1</v>
      </c>
      <c r="L6">
        <f t="shared" ref="L6:L10" si="4">100-M6</f>
        <v>87.5</v>
      </c>
      <c r="M6">
        <v>12.5</v>
      </c>
      <c r="N6">
        <f t="shared" si="0"/>
        <v>89.463706140350865</v>
      </c>
      <c r="O6">
        <v>168</v>
      </c>
      <c r="P6" s="2">
        <v>28.546559999999999</v>
      </c>
      <c r="Q6" s="2">
        <f t="shared" si="2"/>
        <v>53.25220603592313</v>
      </c>
      <c r="R6">
        <f t="shared" si="3"/>
        <v>45.517818343068868</v>
      </c>
      <c r="S6">
        <v>12.498079747807019</v>
      </c>
      <c r="T6" s="9">
        <v>1.0880000000000001</v>
      </c>
      <c r="U6" s="9">
        <v>0</v>
      </c>
      <c r="V6" s="9">
        <v>0.17219999999999999</v>
      </c>
      <c r="W6" s="10">
        <v>1.2602</v>
      </c>
    </row>
    <row r="7" spans="1:23" x14ac:dyDescent="0.35">
      <c r="A7" t="s">
        <v>38</v>
      </c>
      <c r="B7" t="s">
        <v>16</v>
      </c>
      <c r="C7" t="s">
        <v>114</v>
      </c>
      <c r="D7" t="s">
        <v>168</v>
      </c>
      <c r="E7">
        <v>9383.3333333333339</v>
      </c>
      <c r="F7">
        <v>23.3</v>
      </c>
      <c r="G7">
        <f>+((E7*(100-23.3)/(100-24)))</f>
        <v>9469.7587719298263</v>
      </c>
      <c r="H7">
        <v>150.13333333333335</v>
      </c>
      <c r="I7">
        <v>30</v>
      </c>
      <c r="J7">
        <v>11.55</v>
      </c>
      <c r="K7">
        <v>23.3</v>
      </c>
      <c r="L7">
        <f t="shared" si="4"/>
        <v>83.6</v>
      </c>
      <c r="M7">
        <v>16.399999999999999</v>
      </c>
      <c r="N7">
        <f t="shared" si="0"/>
        <v>109.3757138157895</v>
      </c>
      <c r="O7">
        <v>156</v>
      </c>
      <c r="P7" s="2">
        <v>23.788799999999995</v>
      </c>
      <c r="Q7" s="2">
        <f t="shared" si="2"/>
        <v>70.112637061403518</v>
      </c>
      <c r="R7">
        <f t="shared" si="3"/>
        <v>60.835665967952124</v>
      </c>
      <c r="S7">
        <v>13.229253004385967</v>
      </c>
      <c r="T7" s="9">
        <v>1.45096</v>
      </c>
      <c r="U7" s="9">
        <v>0.109</v>
      </c>
      <c r="V7" s="9">
        <v>0.25768000000000002</v>
      </c>
      <c r="W7" s="10">
        <v>1.8176399999999999</v>
      </c>
    </row>
    <row r="8" spans="1:23" x14ac:dyDescent="0.35">
      <c r="A8" t="s">
        <v>40</v>
      </c>
      <c r="B8" t="s">
        <v>16</v>
      </c>
      <c r="C8" t="s">
        <v>118</v>
      </c>
      <c r="D8" t="s">
        <v>169</v>
      </c>
      <c r="E8">
        <v>6679.1666666666661</v>
      </c>
      <c r="F8">
        <v>26.6</v>
      </c>
      <c r="G8">
        <f>+((E8*(100-26.6)/(100-24)))</f>
        <v>6450.6688596491222</v>
      </c>
      <c r="H8">
        <v>106.86666666666666</v>
      </c>
      <c r="I8" t="s">
        <v>21</v>
      </c>
      <c r="J8">
        <v>13.36</v>
      </c>
      <c r="K8">
        <v>26.6</v>
      </c>
      <c r="L8">
        <f t="shared" si="4"/>
        <v>80.900000000000006</v>
      </c>
      <c r="M8">
        <v>19.100000000000001</v>
      </c>
      <c r="N8">
        <f t="shared" si="0"/>
        <v>86.180935964912265</v>
      </c>
      <c r="O8">
        <v>169.44000000000003</v>
      </c>
      <c r="P8" s="2">
        <v>18.738719999999997</v>
      </c>
      <c r="Q8" s="2">
        <f t="shared" si="2"/>
        <v>50.862214332455295</v>
      </c>
      <c r="R8">
        <f t="shared" si="3"/>
        <v>45.797386635913057</v>
      </c>
      <c r="S8">
        <v>9.0115843969298233</v>
      </c>
      <c r="T8" s="9">
        <v>1.2123645999999999</v>
      </c>
      <c r="U8" s="9">
        <v>0</v>
      </c>
      <c r="V8" s="9">
        <v>0.19639999999999999</v>
      </c>
      <c r="W8" s="10">
        <v>1.4087645999999998</v>
      </c>
    </row>
    <row r="9" spans="1:23" x14ac:dyDescent="0.35">
      <c r="A9" t="s">
        <v>40</v>
      </c>
      <c r="B9" t="s">
        <v>16</v>
      </c>
      <c r="C9" t="s">
        <v>119</v>
      </c>
      <c r="D9" t="s">
        <v>169</v>
      </c>
      <c r="E9">
        <v>7170.8333333333339</v>
      </c>
      <c r="F9">
        <v>25.4</v>
      </c>
      <c r="G9">
        <f>+((E9*(100-25.4)/(100-24)))</f>
        <v>7038.7390350877185</v>
      </c>
      <c r="H9">
        <v>114.73333333333335</v>
      </c>
      <c r="I9" t="s">
        <v>21</v>
      </c>
      <c r="J9">
        <v>13.27</v>
      </c>
      <c r="K9">
        <v>25.4</v>
      </c>
      <c r="L9">
        <f t="shared" si="4"/>
        <v>88.4</v>
      </c>
      <c r="M9">
        <v>11.6</v>
      </c>
      <c r="N9">
        <f t="shared" si="0"/>
        <v>93.404066995614016</v>
      </c>
      <c r="O9">
        <v>181.55999999999997</v>
      </c>
      <c r="P9" s="2">
        <v>10.147199999999998</v>
      </c>
      <c r="Q9" s="2">
        <f t="shared" si="2"/>
        <v>51.445289158192345</v>
      </c>
      <c r="R9">
        <f t="shared" si="3"/>
        <v>48.722252996034591</v>
      </c>
      <c r="S9">
        <v>9.8331184320175424</v>
      </c>
      <c r="T9" s="9">
        <v>1.34192</v>
      </c>
      <c r="U9" s="9">
        <v>0</v>
      </c>
      <c r="V9" s="9">
        <v>0.21565999999999999</v>
      </c>
      <c r="W9" s="10">
        <v>1.55758</v>
      </c>
    </row>
    <row r="10" spans="1:23" x14ac:dyDescent="0.35">
      <c r="A10" t="s">
        <v>40</v>
      </c>
      <c r="B10" t="s">
        <v>16</v>
      </c>
      <c r="C10" t="s">
        <v>114</v>
      </c>
      <c r="D10" t="s">
        <v>169</v>
      </c>
      <c r="E10">
        <v>8341.6666666666661</v>
      </c>
      <c r="F10">
        <v>27.1</v>
      </c>
      <c r="G10">
        <f>+((E10*(100-27.1)/(100-24)))</f>
        <v>8001.4144736842109</v>
      </c>
      <c r="H10">
        <v>133.46666666666667</v>
      </c>
      <c r="I10" t="s">
        <v>21</v>
      </c>
      <c r="J10">
        <v>11.66</v>
      </c>
      <c r="K10">
        <v>27.1</v>
      </c>
      <c r="L10">
        <f t="shared" si="4"/>
        <v>81.5</v>
      </c>
      <c r="M10">
        <v>18.5</v>
      </c>
      <c r="N10">
        <f t="shared" si="0"/>
        <v>93.2964927631579</v>
      </c>
      <c r="O10">
        <v>127.44</v>
      </c>
      <c r="P10" s="2">
        <v>12.347999999999997</v>
      </c>
      <c r="Q10" s="2">
        <f t="shared" si="2"/>
        <v>73.208170718108832</v>
      </c>
      <c r="R10">
        <f t="shared" si="3"/>
        <v>66.741417548829588</v>
      </c>
      <c r="S10">
        <v>11.177976019736843</v>
      </c>
      <c r="T10" s="9">
        <v>1.4859199999999999</v>
      </c>
      <c r="U10" s="9">
        <v>0.109</v>
      </c>
      <c r="V10" s="9">
        <v>0.27481</v>
      </c>
      <c r="W10" s="10">
        <v>1.8697299999999999</v>
      </c>
    </row>
    <row r="11" spans="1:23" x14ac:dyDescent="0.35">
      <c r="H11" s="9"/>
    </row>
    <row r="12" spans="1:23" x14ac:dyDescent="0.35">
      <c r="H12" s="9"/>
      <c r="S12" s="10"/>
    </row>
    <row r="13" spans="1:23" x14ac:dyDescent="0.35">
      <c r="H13" s="9"/>
      <c r="I13" s="10"/>
    </row>
    <row r="14" spans="1:23" x14ac:dyDescent="0.35">
      <c r="A14" s="1"/>
      <c r="B14" s="1"/>
      <c r="C14" s="1"/>
      <c r="D14" s="2"/>
      <c r="H14" s="9"/>
    </row>
    <row r="15" spans="1:23" x14ac:dyDescent="0.35">
      <c r="A15" s="1"/>
      <c r="B15" s="1"/>
      <c r="C15" s="1"/>
      <c r="D15" s="2"/>
      <c r="H15" s="9"/>
      <c r="S15" s="10"/>
      <c r="T15" s="10"/>
      <c r="U15" s="10"/>
      <c r="V15" s="10"/>
    </row>
    <row r="16" spans="1:23" x14ac:dyDescent="0.35">
      <c r="A16" s="1"/>
      <c r="B16" s="1"/>
      <c r="C16" s="1"/>
      <c r="D16" s="2"/>
      <c r="I16" s="9"/>
      <c r="J16" s="10"/>
      <c r="T16" s="10"/>
      <c r="U16" s="10"/>
      <c r="V16" s="10"/>
      <c r="W16" s="10"/>
    </row>
    <row r="17" spans="1:23" x14ac:dyDescent="0.35">
      <c r="A17" s="1"/>
      <c r="B17" s="1"/>
      <c r="C17" s="1"/>
      <c r="D17" s="2"/>
      <c r="E17" s="11"/>
      <c r="I17" s="9"/>
      <c r="T17" s="10"/>
      <c r="U17" s="10"/>
      <c r="V17" s="10"/>
      <c r="W17" s="10"/>
    </row>
    <row r="18" spans="1:23" x14ac:dyDescent="0.35">
      <c r="A18" s="1"/>
      <c r="B18" s="1"/>
      <c r="C18" s="1"/>
      <c r="D18" s="2"/>
      <c r="E18" s="11"/>
      <c r="I18" s="9"/>
      <c r="T18" s="10"/>
      <c r="U18" s="10"/>
      <c r="V18" s="10"/>
      <c r="W18" s="10"/>
    </row>
    <row r="19" spans="1:23" x14ac:dyDescent="0.35">
      <c r="A19" s="1"/>
      <c r="B19" s="1"/>
      <c r="C19" s="1"/>
      <c r="D19" s="2"/>
      <c r="E19" s="11"/>
      <c r="I19" s="9"/>
      <c r="J19" s="10"/>
      <c r="T19" s="10"/>
      <c r="U19" s="10"/>
      <c r="V19" s="10"/>
      <c r="W19" s="10"/>
    </row>
    <row r="20" spans="1:23" x14ac:dyDescent="0.35">
      <c r="A20" s="1"/>
      <c r="B20" s="1"/>
      <c r="C20" s="1"/>
      <c r="D20" s="2"/>
      <c r="E20" s="11"/>
      <c r="T20" s="10"/>
      <c r="U20" s="10"/>
      <c r="V20" s="10"/>
      <c r="W20" s="10"/>
    </row>
    <row r="21" spans="1:23" x14ac:dyDescent="0.35">
      <c r="A21" s="1"/>
      <c r="B21" s="1"/>
      <c r="C21" s="1"/>
      <c r="D21" s="2"/>
      <c r="E21" s="11"/>
      <c r="T21" s="10"/>
      <c r="U21" s="10"/>
      <c r="V21" s="10"/>
      <c r="W21" s="10"/>
    </row>
    <row r="22" spans="1:23" x14ac:dyDescent="0.35">
      <c r="A22" s="1"/>
      <c r="B22" s="1"/>
      <c r="C22" s="1"/>
      <c r="D22" s="2"/>
      <c r="E22" s="11"/>
      <c r="T22" s="10"/>
      <c r="U22" s="10"/>
      <c r="V22" s="10"/>
      <c r="W22" s="10"/>
    </row>
    <row r="23" spans="1:23" x14ac:dyDescent="0.35">
      <c r="A23" s="1"/>
      <c r="B23" s="1"/>
      <c r="C23" s="1"/>
      <c r="D23" s="2"/>
      <c r="E23" s="11"/>
      <c r="T23" s="10"/>
      <c r="U23" s="10"/>
      <c r="V23" s="10"/>
      <c r="W23" s="10"/>
    </row>
    <row r="24" spans="1:23" x14ac:dyDescent="0.35">
      <c r="E24" s="11"/>
      <c r="T24" s="10"/>
    </row>
    <row r="25" spans="1:23" x14ac:dyDescent="0.35">
      <c r="E25" s="11"/>
    </row>
  </sheetData>
  <conditionalFormatting sqref="H11:H15 I16:I1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B4101-5D58-45D7-9A89-57EA3262A855}">
  <dimension ref="A1:J24"/>
  <sheetViews>
    <sheetView zoomScale="85" zoomScaleNormal="85" workbookViewId="0">
      <selection activeCell="J2" sqref="J2:J4"/>
    </sheetView>
  </sheetViews>
  <sheetFormatPr defaultRowHeight="14.5" x14ac:dyDescent="0.35"/>
  <cols>
    <col min="1" max="1" width="13.453125" bestFit="1" customWidth="1"/>
    <col min="3" max="3" width="12" bestFit="1" customWidth="1"/>
    <col min="4" max="4" width="12" customWidth="1"/>
    <col min="5" max="5" width="13.81640625" bestFit="1" customWidth="1"/>
    <col min="6" max="6" width="12.26953125" bestFit="1" customWidth="1"/>
    <col min="7" max="7" width="12.1796875" bestFit="1" customWidth="1"/>
    <col min="8" max="8" width="13.81640625" bestFit="1" customWidth="1"/>
  </cols>
  <sheetData>
    <row r="1" spans="1:10" x14ac:dyDescent="0.35">
      <c r="A1" t="s">
        <v>0</v>
      </c>
      <c r="B1" t="s">
        <v>2</v>
      </c>
      <c r="C1" t="s">
        <v>147</v>
      </c>
      <c r="D1" t="s">
        <v>148</v>
      </c>
      <c r="E1" t="s">
        <v>163</v>
      </c>
      <c r="F1" t="s">
        <v>164</v>
      </c>
      <c r="G1" t="s">
        <v>165</v>
      </c>
      <c r="H1" t="s">
        <v>166</v>
      </c>
      <c r="I1" t="s">
        <v>167</v>
      </c>
    </row>
    <row r="2" spans="1:10" x14ac:dyDescent="0.35">
      <c r="A2" t="s">
        <v>15</v>
      </c>
      <c r="B2" t="s">
        <v>16</v>
      </c>
      <c r="C2" t="s">
        <v>118</v>
      </c>
      <c r="D2" t="s">
        <v>168</v>
      </c>
      <c r="E2" s="9">
        <v>14.609832127192982</v>
      </c>
      <c r="F2" s="9">
        <v>1.3105344999999999</v>
      </c>
      <c r="G2" s="9">
        <v>0</v>
      </c>
      <c r="H2" s="9">
        <v>0.18959999999999999</v>
      </c>
      <c r="I2" s="10">
        <v>1.5001344999999999</v>
      </c>
      <c r="J2" s="10"/>
    </row>
    <row r="3" spans="1:10" x14ac:dyDescent="0.35">
      <c r="A3" t="s">
        <v>15</v>
      </c>
      <c r="B3" t="s">
        <v>16</v>
      </c>
      <c r="C3" t="s">
        <v>119</v>
      </c>
      <c r="D3" t="s">
        <v>168</v>
      </c>
      <c r="E3" s="9">
        <v>16.400182598684211</v>
      </c>
      <c r="F3" s="9">
        <v>1.1688799999999999</v>
      </c>
      <c r="G3" s="9">
        <v>0</v>
      </c>
      <c r="H3" s="9">
        <v>0.18134</v>
      </c>
      <c r="I3" s="10">
        <v>1.35022</v>
      </c>
      <c r="J3" s="10"/>
    </row>
    <row r="4" spans="1:10" x14ac:dyDescent="0.35">
      <c r="A4" t="s">
        <v>15</v>
      </c>
      <c r="B4" t="s">
        <v>16</v>
      </c>
      <c r="C4" t="s">
        <v>114</v>
      </c>
      <c r="D4" t="s">
        <v>168</v>
      </c>
      <c r="E4" s="9">
        <v>15.714595657894737</v>
      </c>
      <c r="F4" s="9">
        <v>1.23648</v>
      </c>
      <c r="G4" s="9">
        <v>0.109</v>
      </c>
      <c r="H4" s="9">
        <v>0.23139999999999999</v>
      </c>
      <c r="I4" s="10">
        <v>1.5768800000000001</v>
      </c>
      <c r="J4" s="10"/>
    </row>
    <row r="5" spans="1:10" x14ac:dyDescent="0.35">
      <c r="A5" t="s">
        <v>38</v>
      </c>
      <c r="B5" t="s">
        <v>16</v>
      </c>
      <c r="C5" t="s">
        <v>118</v>
      </c>
      <c r="D5" t="s">
        <v>168</v>
      </c>
      <c r="E5" s="9">
        <v>13.816697631578947</v>
      </c>
      <c r="F5" s="9">
        <v>0.98978421999999999</v>
      </c>
      <c r="G5" s="9">
        <v>0</v>
      </c>
      <c r="H5" s="9">
        <v>0.18731999999999999</v>
      </c>
      <c r="I5" s="10">
        <v>1.1771042199999999</v>
      </c>
    </row>
    <row r="6" spans="1:10" x14ac:dyDescent="0.35">
      <c r="A6" t="s">
        <v>38</v>
      </c>
      <c r="B6" t="s">
        <v>16</v>
      </c>
      <c r="C6" t="s">
        <v>119</v>
      </c>
      <c r="D6" t="s">
        <v>168</v>
      </c>
      <c r="E6" s="9">
        <v>12.498079747807019</v>
      </c>
      <c r="F6" s="9">
        <v>1.0880000000000001</v>
      </c>
      <c r="G6" s="9">
        <v>0</v>
      </c>
      <c r="H6" s="9">
        <v>0.17219999999999999</v>
      </c>
      <c r="I6" s="10">
        <v>1.2602</v>
      </c>
    </row>
    <row r="7" spans="1:10" x14ac:dyDescent="0.35">
      <c r="A7" t="s">
        <v>38</v>
      </c>
      <c r="B7" t="s">
        <v>16</v>
      </c>
      <c r="C7" t="s">
        <v>114</v>
      </c>
      <c r="D7" t="s">
        <v>168</v>
      </c>
      <c r="E7" s="9">
        <v>13.229253004385967</v>
      </c>
      <c r="F7" s="9">
        <v>1.45096</v>
      </c>
      <c r="G7" s="9">
        <v>0.109</v>
      </c>
      <c r="H7" s="9">
        <v>0.25768000000000002</v>
      </c>
      <c r="I7" s="10">
        <v>1.8176399999999999</v>
      </c>
    </row>
    <row r="8" spans="1:10" x14ac:dyDescent="0.35">
      <c r="A8" t="s">
        <v>40</v>
      </c>
      <c r="B8" t="s">
        <v>16</v>
      </c>
      <c r="C8" t="s">
        <v>118</v>
      </c>
      <c r="D8" t="s">
        <v>169</v>
      </c>
      <c r="E8" s="9">
        <v>9.0115843969298233</v>
      </c>
      <c r="F8" s="9">
        <v>1.2123645999999999</v>
      </c>
      <c r="G8" s="9">
        <v>0</v>
      </c>
      <c r="H8" s="9">
        <v>0.19639999999999999</v>
      </c>
      <c r="I8" s="10">
        <v>1.4087645999999998</v>
      </c>
    </row>
    <row r="9" spans="1:10" x14ac:dyDescent="0.35">
      <c r="A9" t="s">
        <v>40</v>
      </c>
      <c r="B9" t="s">
        <v>16</v>
      </c>
      <c r="C9" t="s">
        <v>119</v>
      </c>
      <c r="D9" t="s">
        <v>169</v>
      </c>
      <c r="E9" s="9">
        <v>9.8331184320175424</v>
      </c>
      <c r="F9" s="9">
        <v>1.34192</v>
      </c>
      <c r="G9" s="9">
        <v>0</v>
      </c>
      <c r="H9" s="9">
        <v>0.21565999999999999</v>
      </c>
      <c r="I9" s="10">
        <v>1.55758</v>
      </c>
    </row>
    <row r="10" spans="1:10" x14ac:dyDescent="0.35">
      <c r="A10" t="s">
        <v>40</v>
      </c>
      <c r="B10" t="s">
        <v>16</v>
      </c>
      <c r="C10" t="s">
        <v>114</v>
      </c>
      <c r="D10" t="s">
        <v>169</v>
      </c>
      <c r="E10" s="9">
        <v>11.177976019736843</v>
      </c>
      <c r="F10" s="9">
        <v>1.4859199999999999</v>
      </c>
      <c r="G10" s="9">
        <v>0.109</v>
      </c>
      <c r="H10" s="9">
        <v>0.27481</v>
      </c>
      <c r="I10" s="10">
        <v>1.8697299999999999</v>
      </c>
    </row>
    <row r="12" spans="1:10" x14ac:dyDescent="0.35">
      <c r="E12" s="10"/>
    </row>
    <row r="14" spans="1:10" x14ac:dyDescent="0.35">
      <c r="A14" s="1"/>
      <c r="B14" s="1"/>
      <c r="C14" s="1"/>
      <c r="D14" s="2"/>
    </row>
    <row r="15" spans="1:10" x14ac:dyDescent="0.35">
      <c r="A15" s="1"/>
      <c r="B15" s="1"/>
      <c r="C15" s="1"/>
      <c r="D15" s="2"/>
      <c r="E15" s="10"/>
      <c r="F15" s="10"/>
      <c r="G15" s="10"/>
      <c r="H15" s="10"/>
    </row>
    <row r="16" spans="1:10" x14ac:dyDescent="0.35">
      <c r="A16" s="1"/>
      <c r="B16" s="1"/>
      <c r="C16" s="1"/>
      <c r="D16" s="2"/>
      <c r="F16" s="10"/>
      <c r="G16" s="10"/>
      <c r="H16" s="10"/>
      <c r="I16" s="10"/>
    </row>
    <row r="17" spans="1:9" x14ac:dyDescent="0.35">
      <c r="A17" s="1"/>
      <c r="B17" s="1"/>
      <c r="C17" s="1"/>
      <c r="D17" s="2"/>
      <c r="F17" s="10"/>
      <c r="G17" s="10"/>
      <c r="H17" s="10"/>
      <c r="I17" s="10"/>
    </row>
    <row r="18" spans="1:9" x14ac:dyDescent="0.35">
      <c r="A18" s="1"/>
      <c r="B18" s="1"/>
      <c r="C18" s="1"/>
      <c r="D18" s="2"/>
      <c r="F18" s="10"/>
      <c r="G18" s="10"/>
      <c r="H18" s="10"/>
      <c r="I18" s="10"/>
    </row>
    <row r="19" spans="1:9" x14ac:dyDescent="0.35">
      <c r="A19" s="1"/>
      <c r="B19" s="1"/>
      <c r="C19" s="1"/>
      <c r="D19" s="2"/>
      <c r="F19" s="10"/>
      <c r="G19" s="10"/>
      <c r="H19" s="10"/>
      <c r="I19" s="10"/>
    </row>
    <row r="20" spans="1:9" x14ac:dyDescent="0.35">
      <c r="A20" s="1"/>
      <c r="B20" s="1"/>
      <c r="C20" s="1"/>
      <c r="D20" s="2"/>
      <c r="F20" s="10"/>
      <c r="G20" s="10"/>
      <c r="H20" s="10"/>
      <c r="I20" s="10"/>
    </row>
    <row r="21" spans="1:9" x14ac:dyDescent="0.35">
      <c r="A21" s="1"/>
      <c r="B21" s="1"/>
      <c r="C21" s="1"/>
      <c r="D21" s="2"/>
      <c r="F21" s="10"/>
      <c r="G21" s="10"/>
      <c r="H21" s="10"/>
      <c r="I21" s="10"/>
    </row>
    <row r="22" spans="1:9" x14ac:dyDescent="0.35">
      <c r="A22" s="1"/>
      <c r="B22" s="1"/>
      <c r="C22" s="1"/>
      <c r="D22" s="2"/>
      <c r="F22" s="10"/>
      <c r="G22" s="10"/>
      <c r="H22" s="10"/>
      <c r="I22" s="10"/>
    </row>
    <row r="23" spans="1:9" x14ac:dyDescent="0.35">
      <c r="A23" s="1"/>
      <c r="B23" s="1"/>
      <c r="C23" s="1"/>
      <c r="D23" s="2"/>
      <c r="F23" s="10"/>
      <c r="G23" s="10"/>
      <c r="H23" s="10"/>
      <c r="I23" s="10"/>
    </row>
    <row r="24" spans="1:9" x14ac:dyDescent="0.35">
      <c r="F24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Colnames</vt:lpstr>
      <vt:lpstr>Soil_results C1</vt:lpstr>
      <vt:lpstr>Soil_results C2</vt:lpstr>
      <vt:lpstr>Fertilizations</vt:lpstr>
      <vt:lpstr>Rendimiento</vt:lpstr>
      <vt:lpstr>Costos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Velez Gruezo, Andres Felipe (Alliance Bioversity-CIAT)</dc:creator>
  <cp:lastModifiedBy>Velez Gruezo, Andres Felipe (Alliance Bioversity-CIAT)</cp:lastModifiedBy>
  <dcterms:created xsi:type="dcterms:W3CDTF">2025-09-24T13:11:57Z</dcterms:created>
  <dcterms:modified xsi:type="dcterms:W3CDTF">2025-10-02T17:13:27Z</dcterms:modified>
</cp:coreProperties>
</file>